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6.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Dipen\Desktop\DATA SETS\"/>
    </mc:Choice>
  </mc:AlternateContent>
  <xr:revisionPtr revIDLastSave="0" documentId="8_{69FFD75A-9C87-4DEF-A206-D4F58510C631}" xr6:coauthVersionLast="47" xr6:coauthVersionMax="47" xr10:uidLastSave="{00000000-0000-0000-0000-000000000000}"/>
  <bookViews>
    <workbookView xWindow="-108" yWindow="-108" windowWidth="23256" windowHeight="12456" firstSheet="2" activeTab="4" xr2:uid="{5C31647E-DEB6-40A5-9F64-D9E50FDC0E61}"/>
  </bookViews>
  <sheets>
    <sheet name="Pivot Report" sheetId="1" r:id="rId1"/>
    <sheet name="Dashboard" sheetId="2" r:id="rId2"/>
    <sheet name="Daily ER No of Paitent " sheetId="3" r:id="rId3"/>
    <sheet name="Average Wait Time Daily Trend" sheetId="4" r:id="rId4"/>
    <sheet name="Satisfaction Score Daily Trend" sheetId="5"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dd933f1a-0a7f-4cf4-ab13-7d2c56c95f35" name="Hospital Emergency Room Data" connection="Query - Hospital Emergency Room Data"/>
          <x15:modelTable id="Calender_table_d3a6ff75-4943-44ab-8d49-b2d3f469ed01"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0" i="1" l="1"/>
  <c r="C50" i="1"/>
  <c r="B49" i="1"/>
  <c r="C49" i="1"/>
  <c r="A49" i="1"/>
  <c r="A5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C86859-29EF-45CC-8DF9-ED7C75BD2B78}" name="Query - Calender_table" description="Connection to the 'Calender_table' query in the workbook." type="100" refreshedVersion="8" minRefreshableVersion="5">
    <extLst>
      <ext xmlns:x15="http://schemas.microsoft.com/office/spreadsheetml/2010/11/main" uri="{DE250136-89BD-433C-8126-D09CA5730AF9}">
        <x15:connection id="a1c71587-a0bf-4120-9c97-4b19264e7042"/>
      </ext>
    </extLst>
  </connection>
  <connection id="2" xr16:uid="{83947EA9-18E3-4263-9C22-EE4E75B81F64}"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7cf94c35-430f-41a7-9424-b78530d285fb"/>
      </ext>
    </extLst>
  </connection>
  <connection id="3" xr16:uid="{6B80E7ED-126E-4326-8D15-14C568E416D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<sst xmlns="http://schemas.openxmlformats.org/spreadsheetml/2006/main" count="154" uniqueCount="75">
  <si>
    <t>Distinct Count of Patient Id</t>
  </si>
  <si>
    <t>No. of Patient</t>
  </si>
  <si>
    <t>Average of Patient Waittime</t>
  </si>
  <si>
    <t>Average of Patient Satisfaction Score</t>
  </si>
  <si>
    <t>Grand Total</t>
  </si>
  <si>
    <t>Row Labels</t>
  </si>
  <si>
    <t>daily trend of patients</t>
  </si>
  <si>
    <t>avg wait time</t>
  </si>
  <si>
    <t>Satisfaction score</t>
  </si>
  <si>
    <t>Count of Patient Admission Flag</t>
  </si>
  <si>
    <t>Admitted</t>
  </si>
  <si>
    <t>Not Admitted</t>
  </si>
  <si>
    <t>Count of Patient Admission Flag2</t>
  </si>
  <si>
    <t>Admission Status</t>
  </si>
  <si>
    <t>% status</t>
  </si>
  <si>
    <t>No Of Patient</t>
  </si>
  <si>
    <t>0-09</t>
  </si>
  <si>
    <t>10-19</t>
  </si>
  <si>
    <t>20-29</t>
  </si>
  <si>
    <t>30-39</t>
  </si>
  <si>
    <t>40-49</t>
  </si>
  <si>
    <t>50-59</t>
  </si>
  <si>
    <t>60-69</t>
  </si>
  <si>
    <t>70-79</t>
  </si>
  <si>
    <t>Count of Age Group</t>
  </si>
  <si>
    <t>Age Group</t>
  </si>
  <si>
    <t>On Time</t>
  </si>
  <si>
    <t>Delay</t>
  </si>
  <si>
    <t>Count of Patient attend Status</t>
  </si>
  <si>
    <t>Attend Status</t>
  </si>
  <si>
    <t>Female</t>
  </si>
  <si>
    <t>Male</t>
  </si>
  <si>
    <t>Count of Patient Gender</t>
  </si>
  <si>
    <t>Gender Stuts</t>
  </si>
  <si>
    <t>Department Refrel</t>
  </si>
  <si>
    <t>Cardiology</t>
  </si>
  <si>
    <t>Gastroenterology</t>
  </si>
  <si>
    <t>General Practice</t>
  </si>
  <si>
    <t>Neurology</t>
  </si>
  <si>
    <t>None</t>
  </si>
  <si>
    <t>Orthopedics</t>
  </si>
  <si>
    <t>Physiotherapy</t>
  </si>
  <si>
    <t>Renal</t>
  </si>
  <si>
    <t>Count of Department Referral</t>
  </si>
  <si>
    <t>2024</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</si>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</sst>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sz val="9"/>
      <color rgb="FF000000"/>
      <name val="Calibri"/>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0" fontId="0" fillId="0" borderId="0" xfId="0" applyAlignment="1">
      <alignment horizontal="left" wrapText="1"/>
    </xf>
    <xf numFmtId="1" fontId="0" fillId="0" borderId="0" xfId="0" applyNumberFormat="1"/>
    <xf numFmtId="10" fontId="0" fillId="0" borderId="0" xfId="0" applyNumberFormat="1"/>
    <xf numFmtId="9" fontId="0" fillId="0" borderId="0" xfId="0" applyNumberFormat="1"/>
    <xf numFmtId="0" fontId="0" fillId="4" borderId="0" xfId="0" applyFill="1" applyAlignment="1">
      <alignment horizontal="center"/>
    </xf>
    <xf numFmtId="9" fontId="0" fillId="4" borderId="0" xfId="1" applyFont="1" applyFill="1" applyAlignment="1">
      <alignment horizontal="center"/>
    </xf>
    <xf numFmtId="0" fontId="0" fillId="4" borderId="0" xfId="0" applyFill="1"/>
    <xf numFmtId="0" fontId="2" fillId="0" borderId="0" xfId="0" applyFont="1"/>
    <xf numFmtId="0" fontId="0" fillId="5" borderId="0" xfId="0" applyFill="1"/>
  </cellXfs>
  <cellStyles count="2">
    <cellStyle name="Normal" xfId="0" builtinId="0"/>
    <cellStyle name="Percent" xfId="1" builtinId="5"/>
  </cellStyles>
  <dxfs count="27">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3" formatCode="0%"/>
    </dxf>
    <dxf>
      <numFmt numFmtId="14" formatCode="0.00%"/>
    </dxf>
    <dxf>
      <numFmt numFmtId="1" formatCode="0"/>
    </dxf>
    <dxf>
      <numFmt numFmtId="1" formatCode="0"/>
    </dxf>
    <dxf>
      <numFmt numFmtId="1" formatCode="0"/>
    </dxf>
    <dxf>
      <numFmt numFmtId="2" formatCode="0.00"/>
    </dxf>
    <dxf>
      <alignment wrapText="1"/>
    </dxf>
    <dxf>
      <numFmt numFmtId="2" formatCode="0.00"/>
    </dxf>
    <dxf>
      <numFmt numFmtId="2" formatCode="0.00"/>
    </dxf>
    <dxf>
      <numFmt numFmtId="2" formatCode="0.00"/>
    </dxf>
    <dxf>
      <font>
        <b/>
        <color theme="1"/>
      </font>
      <border>
        <bottom style="thin">
          <color theme="4"/>
        </bottom>
        <vertical/>
        <horizontal/>
      </border>
    </dxf>
    <dxf>
      <font>
        <sz val="7"/>
        <color theme="1"/>
      </font>
      <fill>
        <patternFill>
          <bgColor theme="4" tint="0.79998168889431442"/>
        </patternFill>
      </fill>
      <border diagonalUp="0" diagonalDown="0">
        <left/>
        <right/>
        <top/>
        <bottom/>
        <vertical/>
        <horizontal/>
      </border>
    </dxf>
  </dxfs>
  <tableStyles count="1" defaultTableStyle="TableStyleMedium2" defaultPivotStyle="PivotStyleLight16">
    <tableStyle name="My Style" pivot="0" table="0" count="10" xr9:uid="{97513735-064C-4D80-B98B-464F73BF189D}">
      <tableStyleElement type="wholeTable" dxfId="26"/>
      <tableStyleElement type="headerRow" dxfId="2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microsoft.com/office/2017/10/relationships/person" Target="persons/person.xml"/><Relationship Id="rId39" Type="http://schemas.openxmlformats.org/officeDocument/2006/relationships/customXml" Target="../customXml/item12.xml"/><Relationship Id="rId21" Type="http://schemas.openxmlformats.org/officeDocument/2006/relationships/theme" Target="theme/theme1.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2.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FirstDashboard.xlsx]Pivot Report!PivotTable7</c:name>
    <c:fmtId val="0"/>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Report'!$G$4</c:f>
              <c:strCache>
                <c:ptCount val="1"/>
                <c:pt idx="0">
                  <c:v>Total</c:v>
                </c:pt>
              </c:strCache>
            </c:strRef>
          </c:tx>
          <c:spPr>
            <a:solidFill>
              <a:schemeClr val="accent1"/>
            </a:solidFill>
            <a:ln w="25400">
              <a:noFill/>
            </a:ln>
            <a:effectLst/>
          </c:spPr>
          <c:cat>
            <c:strRef>
              <c:f>'Pivot Report'!$F$5:$F$35</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Report'!$G$5:$G$35</c:f>
              <c:numCache>
                <c:formatCode>General</c:formatCode>
                <c:ptCount val="30"/>
                <c:pt idx="0">
                  <c:v>20</c:v>
                </c:pt>
                <c:pt idx="1">
                  <c:v>11</c:v>
                </c:pt>
                <c:pt idx="2">
                  <c:v>18</c:v>
                </c:pt>
                <c:pt idx="3">
                  <c:v>16</c:v>
                </c:pt>
                <c:pt idx="4">
                  <c:v>11</c:v>
                </c:pt>
                <c:pt idx="5">
                  <c:v>11</c:v>
                </c:pt>
                <c:pt idx="6">
                  <c:v>14</c:v>
                </c:pt>
                <c:pt idx="7">
                  <c:v>16</c:v>
                </c:pt>
                <c:pt idx="8">
                  <c:v>18</c:v>
                </c:pt>
                <c:pt idx="9">
                  <c:v>10</c:v>
                </c:pt>
                <c:pt idx="10">
                  <c:v>23</c:v>
                </c:pt>
                <c:pt idx="11">
                  <c:v>19</c:v>
                </c:pt>
                <c:pt idx="12">
                  <c:v>14</c:v>
                </c:pt>
                <c:pt idx="13">
                  <c:v>20</c:v>
                </c:pt>
                <c:pt idx="14">
                  <c:v>15</c:v>
                </c:pt>
                <c:pt idx="15">
                  <c:v>12</c:v>
                </c:pt>
                <c:pt idx="16">
                  <c:v>17</c:v>
                </c:pt>
                <c:pt idx="17">
                  <c:v>18</c:v>
                </c:pt>
                <c:pt idx="18">
                  <c:v>16</c:v>
                </c:pt>
                <c:pt idx="19">
                  <c:v>20</c:v>
                </c:pt>
                <c:pt idx="20">
                  <c:v>17</c:v>
                </c:pt>
                <c:pt idx="21">
                  <c:v>19</c:v>
                </c:pt>
                <c:pt idx="22">
                  <c:v>17</c:v>
                </c:pt>
                <c:pt idx="23">
                  <c:v>18</c:v>
                </c:pt>
                <c:pt idx="24">
                  <c:v>18</c:v>
                </c:pt>
                <c:pt idx="25">
                  <c:v>15</c:v>
                </c:pt>
                <c:pt idx="26">
                  <c:v>10</c:v>
                </c:pt>
                <c:pt idx="27">
                  <c:v>14</c:v>
                </c:pt>
                <c:pt idx="28">
                  <c:v>9</c:v>
                </c:pt>
                <c:pt idx="29">
                  <c:v>15</c:v>
                </c:pt>
              </c:numCache>
            </c:numRef>
          </c:val>
          <c:extLst>
            <c:ext xmlns:c16="http://schemas.microsoft.com/office/drawing/2014/chart" uri="{C3380CC4-5D6E-409C-BE32-E72D297353CC}">
              <c16:uniqueId val="{00000003-ECBC-4EFE-B47B-EE22B609A6E3}"/>
            </c:ext>
          </c:extLst>
        </c:ser>
        <c:dLbls>
          <c:showLegendKey val="0"/>
          <c:showVal val="0"/>
          <c:showCatName val="0"/>
          <c:showSerName val="0"/>
          <c:showPercent val="0"/>
          <c:showBubbleSize val="0"/>
        </c:dLbls>
        <c:axId val="1816190064"/>
        <c:axId val="1816188144"/>
      </c:areaChart>
      <c:catAx>
        <c:axId val="18161900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60" b="0" i="0" u="none" strike="noStrike" kern="1200" baseline="0">
                <a:solidFill>
                  <a:schemeClr val="tx1">
                    <a:lumMod val="65000"/>
                    <a:lumOff val="35000"/>
                  </a:schemeClr>
                </a:solidFill>
                <a:latin typeface="+mn-lt"/>
                <a:ea typeface="+mn-ea"/>
                <a:cs typeface="+mn-cs"/>
              </a:defRPr>
            </a:pPr>
            <a:endParaRPr lang="en-US"/>
          </a:p>
        </c:txPr>
        <c:crossAx val="1816188144"/>
        <c:crosses val="autoZero"/>
        <c:auto val="1"/>
        <c:lblAlgn val="ctr"/>
        <c:lblOffset val="100"/>
        <c:noMultiLvlLbl val="0"/>
      </c:catAx>
      <c:valAx>
        <c:axId val="1816188144"/>
        <c:scaling>
          <c:orientation val="minMax"/>
        </c:scaling>
        <c:delete val="1"/>
        <c:axPos val="l"/>
        <c:numFmt formatCode="General" sourceLinked="1"/>
        <c:majorTickMark val="none"/>
        <c:minorTickMark val="none"/>
        <c:tickLblPos val="nextTo"/>
        <c:crossAx val="18161900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FirstDashboard.xlsx]Pivot Report!PivotTable8</c:name>
    <c:fmtId val="7"/>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Report'!$L$4</c:f>
              <c:strCache>
                <c:ptCount val="1"/>
                <c:pt idx="0">
                  <c:v>Total</c:v>
                </c:pt>
              </c:strCache>
            </c:strRef>
          </c:tx>
          <c:spPr>
            <a:solidFill>
              <a:schemeClr val="accent1"/>
            </a:solidFill>
            <a:ln w="25400">
              <a:noFill/>
            </a:ln>
            <a:effectLst/>
          </c:spPr>
          <c:cat>
            <c:strRef>
              <c:f>'Pivot Report'!$K$5:$K$35</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Report'!$L$5:$L$35</c:f>
              <c:numCache>
                <c:formatCode>0.00</c:formatCode>
                <c:ptCount val="30"/>
                <c:pt idx="0">
                  <c:v>37.4</c:v>
                </c:pt>
                <c:pt idx="1">
                  <c:v>38.545454545454547</c:v>
                </c:pt>
                <c:pt idx="2">
                  <c:v>31.333333333333332</c:v>
                </c:pt>
                <c:pt idx="3">
                  <c:v>36.5</c:v>
                </c:pt>
                <c:pt idx="4">
                  <c:v>25.727272727272727</c:v>
                </c:pt>
                <c:pt idx="5">
                  <c:v>29.272727272727273</c:v>
                </c:pt>
                <c:pt idx="6">
                  <c:v>33.5</c:v>
                </c:pt>
                <c:pt idx="7">
                  <c:v>27.1875</c:v>
                </c:pt>
                <c:pt idx="8">
                  <c:v>30.333333333333332</c:v>
                </c:pt>
                <c:pt idx="9">
                  <c:v>32.5</c:v>
                </c:pt>
                <c:pt idx="10">
                  <c:v>33.565217391304351</c:v>
                </c:pt>
                <c:pt idx="11">
                  <c:v>37.473684210526315</c:v>
                </c:pt>
                <c:pt idx="12">
                  <c:v>33.857142857142854</c:v>
                </c:pt>
                <c:pt idx="13">
                  <c:v>32.25</c:v>
                </c:pt>
                <c:pt idx="14">
                  <c:v>43.666666666666664</c:v>
                </c:pt>
                <c:pt idx="15">
                  <c:v>30.166666666666668</c:v>
                </c:pt>
                <c:pt idx="16">
                  <c:v>33.823529411764703</c:v>
                </c:pt>
                <c:pt idx="17">
                  <c:v>32.5</c:v>
                </c:pt>
                <c:pt idx="18">
                  <c:v>39.25</c:v>
                </c:pt>
                <c:pt idx="19">
                  <c:v>33.549999999999997</c:v>
                </c:pt>
                <c:pt idx="20">
                  <c:v>31.117647058823529</c:v>
                </c:pt>
                <c:pt idx="21">
                  <c:v>36.94736842105263</c:v>
                </c:pt>
                <c:pt idx="22">
                  <c:v>43</c:v>
                </c:pt>
                <c:pt idx="23">
                  <c:v>33.055555555555557</c:v>
                </c:pt>
                <c:pt idx="24">
                  <c:v>32.888888888888886</c:v>
                </c:pt>
                <c:pt idx="25">
                  <c:v>26.6</c:v>
                </c:pt>
                <c:pt idx="26">
                  <c:v>28.2</c:v>
                </c:pt>
                <c:pt idx="27">
                  <c:v>37.642857142857146</c:v>
                </c:pt>
                <c:pt idx="28">
                  <c:v>40.333333333333336</c:v>
                </c:pt>
                <c:pt idx="29">
                  <c:v>35.93333333333333</c:v>
                </c:pt>
              </c:numCache>
            </c:numRef>
          </c:val>
          <c:extLst>
            <c:ext xmlns:c16="http://schemas.microsoft.com/office/drawing/2014/chart" uri="{C3380CC4-5D6E-409C-BE32-E72D297353CC}">
              <c16:uniqueId val="{00000003-1987-4520-9D97-8A0F8A054C1D}"/>
            </c:ext>
          </c:extLst>
        </c:ser>
        <c:dLbls>
          <c:showLegendKey val="0"/>
          <c:showVal val="0"/>
          <c:showCatName val="0"/>
          <c:showSerName val="0"/>
          <c:showPercent val="0"/>
          <c:showBubbleSize val="0"/>
        </c:dLbls>
        <c:axId val="128167279"/>
        <c:axId val="128161039"/>
      </c:areaChart>
      <c:catAx>
        <c:axId val="128167279"/>
        <c:scaling>
          <c:orientation val="minMax"/>
        </c:scaling>
        <c:delete val="1"/>
        <c:axPos val="b"/>
        <c:numFmt formatCode="General" sourceLinked="1"/>
        <c:majorTickMark val="out"/>
        <c:minorTickMark val="none"/>
        <c:tickLblPos val="nextTo"/>
        <c:crossAx val="128161039"/>
        <c:crosses val="autoZero"/>
        <c:auto val="1"/>
        <c:lblAlgn val="ctr"/>
        <c:lblOffset val="100"/>
        <c:noMultiLvlLbl val="0"/>
      </c:catAx>
      <c:valAx>
        <c:axId val="128161039"/>
        <c:scaling>
          <c:orientation val="minMax"/>
        </c:scaling>
        <c:delete val="1"/>
        <c:axPos val="l"/>
        <c:numFmt formatCode="0.00" sourceLinked="1"/>
        <c:majorTickMark val="none"/>
        <c:minorTickMark val="none"/>
        <c:tickLblPos val="nextTo"/>
        <c:crossAx val="1281672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FirstDashboard.xlsx]Pivot Report!PivotTable9</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Report'!$O$5</c:f>
              <c:strCache>
                <c:ptCount val="1"/>
                <c:pt idx="0">
                  <c:v>Total</c:v>
                </c:pt>
              </c:strCache>
            </c:strRef>
          </c:tx>
          <c:spPr>
            <a:solidFill>
              <a:schemeClr val="accent1"/>
            </a:solidFill>
            <a:ln w="25400">
              <a:noFill/>
            </a:ln>
            <a:effectLst/>
          </c:spPr>
          <c:cat>
            <c:strRef>
              <c:f>'Pivot Report'!$N$6:$N$36</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Report'!$O$6:$O$36</c:f>
              <c:numCache>
                <c:formatCode>0.00</c:formatCode>
                <c:ptCount val="30"/>
                <c:pt idx="0">
                  <c:v>4.8571428571428568</c:v>
                </c:pt>
                <c:pt idx="1">
                  <c:v>8</c:v>
                </c:pt>
                <c:pt idx="2">
                  <c:v>6</c:v>
                </c:pt>
                <c:pt idx="3">
                  <c:v>6.8</c:v>
                </c:pt>
                <c:pt idx="4">
                  <c:v>3.5</c:v>
                </c:pt>
                <c:pt idx="5">
                  <c:v>0.5</c:v>
                </c:pt>
                <c:pt idx="6">
                  <c:v>4</c:v>
                </c:pt>
                <c:pt idx="7">
                  <c:v>4.75</c:v>
                </c:pt>
                <c:pt idx="8">
                  <c:v>5</c:v>
                </c:pt>
                <c:pt idx="9">
                  <c:v>10</c:v>
                </c:pt>
                <c:pt idx="10">
                  <c:v>5.5</c:v>
                </c:pt>
                <c:pt idx="11">
                  <c:v>4</c:v>
                </c:pt>
                <c:pt idx="12">
                  <c:v>2.6666666666666665</c:v>
                </c:pt>
                <c:pt idx="13">
                  <c:v>5.1111111111111107</c:v>
                </c:pt>
                <c:pt idx="14">
                  <c:v>6.25</c:v>
                </c:pt>
                <c:pt idx="15">
                  <c:v>6.333333333333333</c:v>
                </c:pt>
                <c:pt idx="16">
                  <c:v>7.666666666666667</c:v>
                </c:pt>
                <c:pt idx="17">
                  <c:v>5.8</c:v>
                </c:pt>
                <c:pt idx="18">
                  <c:v>6.666666666666667</c:v>
                </c:pt>
                <c:pt idx="19">
                  <c:v>5.4444444444444446</c:v>
                </c:pt>
                <c:pt idx="20">
                  <c:v>4.4000000000000004</c:v>
                </c:pt>
                <c:pt idx="21">
                  <c:v>4.8</c:v>
                </c:pt>
                <c:pt idx="22">
                  <c:v>4</c:v>
                </c:pt>
                <c:pt idx="23">
                  <c:v>8.25</c:v>
                </c:pt>
                <c:pt idx="24">
                  <c:v>4.5</c:v>
                </c:pt>
                <c:pt idx="25">
                  <c:v>3.5</c:v>
                </c:pt>
                <c:pt idx="26">
                  <c:v>7</c:v>
                </c:pt>
                <c:pt idx="27">
                  <c:v>4.5</c:v>
                </c:pt>
                <c:pt idx="28">
                  <c:v>4.666666666666667</c:v>
                </c:pt>
                <c:pt idx="29">
                  <c:v>5.8</c:v>
                </c:pt>
              </c:numCache>
            </c:numRef>
          </c:val>
          <c:extLst>
            <c:ext xmlns:c16="http://schemas.microsoft.com/office/drawing/2014/chart" uri="{C3380CC4-5D6E-409C-BE32-E72D297353CC}">
              <c16:uniqueId val="{00000003-3A1D-439A-8B3A-50C4B168FC12}"/>
            </c:ext>
          </c:extLst>
        </c:ser>
        <c:dLbls>
          <c:showLegendKey val="0"/>
          <c:showVal val="0"/>
          <c:showCatName val="0"/>
          <c:showSerName val="0"/>
          <c:showPercent val="0"/>
          <c:showBubbleSize val="0"/>
        </c:dLbls>
        <c:axId val="1795879808"/>
        <c:axId val="1795877888"/>
      </c:areaChart>
      <c:catAx>
        <c:axId val="1795879808"/>
        <c:scaling>
          <c:orientation val="minMax"/>
        </c:scaling>
        <c:delete val="1"/>
        <c:axPos val="b"/>
        <c:numFmt formatCode="General" sourceLinked="1"/>
        <c:majorTickMark val="out"/>
        <c:minorTickMark val="none"/>
        <c:tickLblPos val="nextTo"/>
        <c:crossAx val="1795877888"/>
        <c:crosses val="autoZero"/>
        <c:auto val="1"/>
        <c:lblAlgn val="ctr"/>
        <c:lblOffset val="100"/>
        <c:noMultiLvlLbl val="0"/>
      </c:catAx>
      <c:valAx>
        <c:axId val="1795877888"/>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795879808"/>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FirstDashboard.xlsx]Pivot Report!PivotTable4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12ABE89-CB1F-4A90-AD4B-0FE0D76719E0}" type="CELLRANGE">
                  <a:rPr lang="en-US"/>
                  <a:pPr>
                    <a:defRPr/>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40617284620028266"/>
                  <c:h val="0.26887955125993218"/>
                </c:manualLayout>
              </c15:layout>
              <c15:dlblFieldTable/>
              <c15:showDataLabelsRange val="1"/>
            </c:ext>
          </c:extLst>
        </c:dLbl>
      </c:pivotFmt>
      <c:pivotFmt>
        <c:idx val="3"/>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0C5A3B3-6BF6-411F-BD83-BAEC37970329}" type="CELLRANGE">
                  <a:rPr lang="en-US"/>
                  <a:pPr>
                    <a:defRPr/>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8321874356110308"/>
                  <c:h val="0.26887955125993218"/>
                </c:manualLayout>
              </c15:layout>
              <c15:dlblFieldTable/>
              <c15:showDataLabelsRange val="1"/>
            </c:ext>
          </c:extLst>
        </c:dLbl>
      </c:pivotFmt>
    </c:pivotFmts>
    <c:plotArea>
      <c:layout>
        <c:manualLayout>
          <c:layoutTarget val="inner"/>
          <c:xMode val="edge"/>
          <c:yMode val="edge"/>
          <c:x val="0.11447370313228655"/>
          <c:y val="0.2335782594007432"/>
          <c:w val="0.76067727254653172"/>
          <c:h val="0.67297057491107071"/>
        </c:manualLayout>
      </c:layout>
      <c:barChart>
        <c:barDir val="bar"/>
        <c:grouping val="clustered"/>
        <c:varyColors val="0"/>
        <c:ser>
          <c:idx val="0"/>
          <c:order val="0"/>
          <c:tx>
            <c:strRef>
              <c:f>'Pivot Report'!$B$42</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D9ED-4236-AD35-26E888CF589F}"/>
              </c:ext>
            </c:extLst>
          </c:dPt>
          <c:dPt>
            <c:idx val="1"/>
            <c:invertIfNegative val="0"/>
            <c:bubble3D val="0"/>
            <c:extLst>
              <c:ext xmlns:c16="http://schemas.microsoft.com/office/drawing/2014/chart" uri="{C3380CC4-5D6E-409C-BE32-E72D297353CC}">
                <c16:uniqueId val="{00000001-D9ED-4236-AD35-26E888CF589F}"/>
              </c:ext>
            </c:extLst>
          </c:dPt>
          <c:dLbls>
            <c:dLbl>
              <c:idx val="0"/>
              <c:tx>
                <c:rich>
                  <a:bodyPr/>
                  <a:lstStyle/>
                  <a:p>
                    <a:fld id="{312ABE89-CB1F-4A90-AD4B-0FE0D76719E0}"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manualLayout>
                      <c:w val="0.40617284620028266"/>
                      <c:h val="0.26887955125993218"/>
                    </c:manualLayout>
                  </c15:layout>
                  <c15:dlblFieldTable/>
                  <c15:showDataLabelsRange val="1"/>
                </c:ext>
                <c:ext xmlns:c16="http://schemas.microsoft.com/office/drawing/2014/chart" uri="{C3380CC4-5D6E-409C-BE32-E72D297353CC}">
                  <c16:uniqueId val="{00000000-D9ED-4236-AD35-26E888CF589F}"/>
                </c:ext>
              </c:extLst>
            </c:dLbl>
            <c:dLbl>
              <c:idx val="1"/>
              <c:tx>
                <c:rich>
                  <a:bodyPr/>
                  <a:lstStyle/>
                  <a:p>
                    <a:fld id="{C0C5A3B3-6BF6-411F-BD83-BAEC37970329}"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manualLayout>
                      <c:w val="0.38321874356110308"/>
                      <c:h val="0.26887955125993218"/>
                    </c:manualLayout>
                  </c15:layout>
                  <c15:dlblFieldTable/>
                  <c15:showDataLabelsRange val="1"/>
                </c:ext>
                <c:ext xmlns:c16="http://schemas.microsoft.com/office/drawing/2014/chart" uri="{C3380CC4-5D6E-409C-BE32-E72D297353CC}">
                  <c16:uniqueId val="{00000001-D9ED-4236-AD35-26E888CF589F}"/>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Report'!$A$43:$A$45</c:f>
              <c:strCache>
                <c:ptCount val="2"/>
                <c:pt idx="0">
                  <c:v>Admitted</c:v>
                </c:pt>
                <c:pt idx="1">
                  <c:v>Not Admitted</c:v>
                </c:pt>
              </c:strCache>
            </c:strRef>
          </c:cat>
          <c:val>
            <c:numRef>
              <c:f>'Pivot Report'!$B$43:$B$45</c:f>
              <c:numCache>
                <c:formatCode>0</c:formatCode>
                <c:ptCount val="2"/>
                <c:pt idx="0">
                  <c:v>247</c:v>
                </c:pt>
                <c:pt idx="1">
                  <c:v>224</c:v>
                </c:pt>
              </c:numCache>
            </c:numRef>
          </c:val>
          <c:extLst>
            <c:ext xmlns:c16="http://schemas.microsoft.com/office/drawing/2014/chart" uri="{C3380CC4-5D6E-409C-BE32-E72D297353CC}">
              <c16:uniqueId val="{00000009-6882-4668-B191-6D9DF46C35FB}"/>
            </c:ext>
          </c:extLst>
        </c:ser>
        <c:ser>
          <c:idx val="1"/>
          <c:order val="1"/>
          <c:tx>
            <c:strRef>
              <c:f>'Pivot Report'!$C$42</c:f>
              <c:strCache>
                <c:ptCount val="1"/>
                <c:pt idx="0">
                  <c:v>Count of Patient Admission Flag2</c:v>
                </c:pt>
              </c:strCache>
            </c:strRef>
          </c:tx>
          <c:spPr>
            <a:solidFill>
              <a:schemeClr val="accent2"/>
            </a:solidFill>
            <a:ln>
              <a:noFill/>
            </a:ln>
            <a:effectLst/>
          </c:spPr>
          <c:invertIfNegative val="0"/>
          <c:cat>
            <c:strRef>
              <c:f>'Pivot Report'!$A$43:$A$45</c:f>
              <c:strCache>
                <c:ptCount val="2"/>
                <c:pt idx="0">
                  <c:v>Admitted</c:v>
                </c:pt>
                <c:pt idx="1">
                  <c:v>Not Admitted</c:v>
                </c:pt>
              </c:strCache>
            </c:strRef>
          </c:cat>
          <c:val>
            <c:numRef>
              <c:f>'Pivot Report'!$C$43:$C$45</c:f>
              <c:numCache>
                <c:formatCode>0.00%</c:formatCode>
                <c:ptCount val="2"/>
                <c:pt idx="0">
                  <c:v>0.52441613588110403</c:v>
                </c:pt>
                <c:pt idx="1">
                  <c:v>0.47558386411889597</c:v>
                </c:pt>
              </c:numCache>
            </c:numRef>
          </c:val>
          <c:extLst>
            <c:ext xmlns:c16="http://schemas.microsoft.com/office/drawing/2014/chart" uri="{C3380CC4-5D6E-409C-BE32-E72D297353CC}">
              <c16:uniqueId val="{0000000A-6882-4668-B191-6D9DF46C35FB}"/>
            </c:ext>
          </c:extLst>
        </c:ser>
        <c:dLbls>
          <c:showLegendKey val="0"/>
          <c:showVal val="0"/>
          <c:showCatName val="0"/>
          <c:showSerName val="0"/>
          <c:showPercent val="0"/>
          <c:showBubbleSize val="0"/>
        </c:dLbls>
        <c:gapWidth val="10"/>
        <c:overlap val="70"/>
        <c:axId val="1883108175"/>
        <c:axId val="1883111055"/>
      </c:barChart>
      <c:catAx>
        <c:axId val="1883108175"/>
        <c:scaling>
          <c:orientation val="minMax"/>
        </c:scaling>
        <c:delete val="1"/>
        <c:axPos val="l"/>
        <c:numFmt formatCode="General" sourceLinked="1"/>
        <c:majorTickMark val="none"/>
        <c:minorTickMark val="none"/>
        <c:tickLblPos val="nextTo"/>
        <c:crossAx val="1883111055"/>
        <c:crosses val="autoZero"/>
        <c:auto val="1"/>
        <c:lblAlgn val="ctr"/>
        <c:lblOffset val="100"/>
        <c:noMultiLvlLbl val="0"/>
      </c:catAx>
      <c:valAx>
        <c:axId val="1883111055"/>
        <c:scaling>
          <c:orientation val="minMax"/>
        </c:scaling>
        <c:delete val="1"/>
        <c:axPos val="b"/>
        <c:numFmt formatCode="0" sourceLinked="1"/>
        <c:majorTickMark val="none"/>
        <c:minorTickMark val="none"/>
        <c:tickLblPos val="nextTo"/>
        <c:crossAx val="1883108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FirstDashboard.xlsx]Pivot Report!PivotTable7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07759186351708"/>
          <c:y val="5.2148911638050119E-2"/>
          <c:w val="0.87208907480314957"/>
          <c:h val="0.57873264496450716"/>
        </c:manualLayout>
      </c:layout>
      <c:areaChart>
        <c:grouping val="standard"/>
        <c:varyColors val="0"/>
        <c:ser>
          <c:idx val="0"/>
          <c:order val="0"/>
          <c:tx>
            <c:strRef>
              <c:f>'Pivot Report'!$G$4</c:f>
              <c:strCache>
                <c:ptCount val="1"/>
                <c:pt idx="0">
                  <c:v>Total</c:v>
                </c:pt>
              </c:strCache>
            </c:strRef>
          </c:tx>
          <c:spPr>
            <a:solidFill>
              <a:schemeClr val="accent1"/>
            </a:solidFill>
            <a:ln w="25400">
              <a:noFill/>
            </a:ln>
            <a:effectLst/>
          </c:spPr>
          <c:cat>
            <c:strRef>
              <c:f>'Pivot Report'!$F$5:$F$35</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Report'!$G$5:$G$35</c:f>
              <c:numCache>
                <c:formatCode>General</c:formatCode>
                <c:ptCount val="30"/>
                <c:pt idx="0">
                  <c:v>20</c:v>
                </c:pt>
                <c:pt idx="1">
                  <c:v>11</c:v>
                </c:pt>
                <c:pt idx="2">
                  <c:v>18</c:v>
                </c:pt>
                <c:pt idx="3">
                  <c:v>16</c:v>
                </c:pt>
                <c:pt idx="4">
                  <c:v>11</c:v>
                </c:pt>
                <c:pt idx="5">
                  <c:v>11</c:v>
                </c:pt>
                <c:pt idx="6">
                  <c:v>14</c:v>
                </c:pt>
                <c:pt idx="7">
                  <c:v>16</c:v>
                </c:pt>
                <c:pt idx="8">
                  <c:v>18</c:v>
                </c:pt>
                <c:pt idx="9">
                  <c:v>10</c:v>
                </c:pt>
                <c:pt idx="10">
                  <c:v>23</c:v>
                </c:pt>
                <c:pt idx="11">
                  <c:v>19</c:v>
                </c:pt>
                <c:pt idx="12">
                  <c:v>14</c:v>
                </c:pt>
                <c:pt idx="13">
                  <c:v>20</c:v>
                </c:pt>
                <c:pt idx="14">
                  <c:v>15</c:v>
                </c:pt>
                <c:pt idx="15">
                  <c:v>12</c:v>
                </c:pt>
                <c:pt idx="16">
                  <c:v>17</c:v>
                </c:pt>
                <c:pt idx="17">
                  <c:v>18</c:v>
                </c:pt>
                <c:pt idx="18">
                  <c:v>16</c:v>
                </c:pt>
                <c:pt idx="19">
                  <c:v>20</c:v>
                </c:pt>
                <c:pt idx="20">
                  <c:v>17</c:v>
                </c:pt>
                <c:pt idx="21">
                  <c:v>19</c:v>
                </c:pt>
                <c:pt idx="22">
                  <c:v>17</c:v>
                </c:pt>
                <c:pt idx="23">
                  <c:v>18</c:v>
                </c:pt>
                <c:pt idx="24">
                  <c:v>18</c:v>
                </c:pt>
                <c:pt idx="25">
                  <c:v>15</c:v>
                </c:pt>
                <c:pt idx="26">
                  <c:v>10</c:v>
                </c:pt>
                <c:pt idx="27">
                  <c:v>14</c:v>
                </c:pt>
                <c:pt idx="28">
                  <c:v>9</c:v>
                </c:pt>
                <c:pt idx="29">
                  <c:v>15</c:v>
                </c:pt>
              </c:numCache>
            </c:numRef>
          </c:val>
          <c:extLst>
            <c:ext xmlns:c16="http://schemas.microsoft.com/office/drawing/2014/chart" uri="{C3380CC4-5D6E-409C-BE32-E72D297353CC}">
              <c16:uniqueId val="{00000004-6F9A-4CA0-BAFD-E1F2CCD9BF45}"/>
            </c:ext>
          </c:extLst>
        </c:ser>
        <c:dLbls>
          <c:showLegendKey val="0"/>
          <c:showVal val="0"/>
          <c:showCatName val="0"/>
          <c:showSerName val="0"/>
          <c:showPercent val="0"/>
          <c:showBubbleSize val="0"/>
        </c:dLbls>
        <c:axId val="1816190064"/>
        <c:axId val="1816188144"/>
      </c:areaChart>
      <c:catAx>
        <c:axId val="1816190064"/>
        <c:scaling>
          <c:orientation val="minMax"/>
        </c:scaling>
        <c:delete val="1"/>
        <c:axPos val="b"/>
        <c:numFmt formatCode="General" sourceLinked="1"/>
        <c:majorTickMark val="out"/>
        <c:minorTickMark val="none"/>
        <c:tickLblPos val="nextTo"/>
        <c:crossAx val="1816188144"/>
        <c:crosses val="autoZero"/>
        <c:auto val="1"/>
        <c:lblAlgn val="ctr"/>
        <c:lblOffset val="100"/>
        <c:noMultiLvlLbl val="0"/>
      </c:catAx>
      <c:valAx>
        <c:axId val="1816188144"/>
        <c:scaling>
          <c:orientation val="minMax"/>
        </c:scaling>
        <c:delete val="1"/>
        <c:axPos val="l"/>
        <c:numFmt formatCode="General" sourceLinked="1"/>
        <c:majorTickMark val="none"/>
        <c:minorTickMark val="none"/>
        <c:tickLblPos val="nextTo"/>
        <c:crossAx val="18161900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FirstDashboard.xlsx]Pivot Report!PivotTable8</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33716515783046169"/>
          <c:w val="1"/>
          <c:h val="0.66283484216953836"/>
        </c:manualLayout>
      </c:layout>
      <c:areaChart>
        <c:grouping val="standard"/>
        <c:varyColors val="0"/>
        <c:ser>
          <c:idx val="0"/>
          <c:order val="0"/>
          <c:tx>
            <c:strRef>
              <c:f>'Pivot Report'!$L$4</c:f>
              <c:strCache>
                <c:ptCount val="1"/>
                <c:pt idx="0">
                  <c:v>Total</c:v>
                </c:pt>
              </c:strCache>
            </c:strRef>
          </c:tx>
          <c:spPr>
            <a:solidFill>
              <a:schemeClr val="accent1"/>
            </a:solidFill>
            <a:ln w="25400">
              <a:noFill/>
            </a:ln>
            <a:effectLst/>
          </c:spPr>
          <c:cat>
            <c:strRef>
              <c:f>'Pivot Report'!$K$5:$K$35</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Report'!$L$5:$L$35</c:f>
              <c:numCache>
                <c:formatCode>0.00</c:formatCode>
                <c:ptCount val="30"/>
                <c:pt idx="0">
                  <c:v>37.4</c:v>
                </c:pt>
                <c:pt idx="1">
                  <c:v>38.545454545454547</c:v>
                </c:pt>
                <c:pt idx="2">
                  <c:v>31.333333333333332</c:v>
                </c:pt>
                <c:pt idx="3">
                  <c:v>36.5</c:v>
                </c:pt>
                <c:pt idx="4">
                  <c:v>25.727272727272727</c:v>
                </c:pt>
                <c:pt idx="5">
                  <c:v>29.272727272727273</c:v>
                </c:pt>
                <c:pt idx="6">
                  <c:v>33.5</c:v>
                </c:pt>
                <c:pt idx="7">
                  <c:v>27.1875</c:v>
                </c:pt>
                <c:pt idx="8">
                  <c:v>30.333333333333332</c:v>
                </c:pt>
                <c:pt idx="9">
                  <c:v>32.5</c:v>
                </c:pt>
                <c:pt idx="10">
                  <c:v>33.565217391304351</c:v>
                </c:pt>
                <c:pt idx="11">
                  <c:v>37.473684210526315</c:v>
                </c:pt>
                <c:pt idx="12">
                  <c:v>33.857142857142854</c:v>
                </c:pt>
                <c:pt idx="13">
                  <c:v>32.25</c:v>
                </c:pt>
                <c:pt idx="14">
                  <c:v>43.666666666666664</c:v>
                </c:pt>
                <c:pt idx="15">
                  <c:v>30.166666666666668</c:v>
                </c:pt>
                <c:pt idx="16">
                  <c:v>33.823529411764703</c:v>
                </c:pt>
                <c:pt idx="17">
                  <c:v>32.5</c:v>
                </c:pt>
                <c:pt idx="18">
                  <c:v>39.25</c:v>
                </c:pt>
                <c:pt idx="19">
                  <c:v>33.549999999999997</c:v>
                </c:pt>
                <c:pt idx="20">
                  <c:v>31.117647058823529</c:v>
                </c:pt>
                <c:pt idx="21">
                  <c:v>36.94736842105263</c:v>
                </c:pt>
                <c:pt idx="22">
                  <c:v>43</c:v>
                </c:pt>
                <c:pt idx="23">
                  <c:v>33.055555555555557</c:v>
                </c:pt>
                <c:pt idx="24">
                  <c:v>32.888888888888886</c:v>
                </c:pt>
                <c:pt idx="25">
                  <c:v>26.6</c:v>
                </c:pt>
                <c:pt idx="26">
                  <c:v>28.2</c:v>
                </c:pt>
                <c:pt idx="27">
                  <c:v>37.642857142857146</c:v>
                </c:pt>
                <c:pt idx="28">
                  <c:v>40.333333333333336</c:v>
                </c:pt>
                <c:pt idx="29">
                  <c:v>35.93333333333333</c:v>
                </c:pt>
              </c:numCache>
            </c:numRef>
          </c:val>
          <c:extLst>
            <c:ext xmlns:c16="http://schemas.microsoft.com/office/drawing/2014/chart" uri="{C3380CC4-5D6E-409C-BE32-E72D297353CC}">
              <c16:uniqueId val="{00000004-284F-40D5-9C1C-010805773B67}"/>
            </c:ext>
          </c:extLst>
        </c:ser>
        <c:dLbls>
          <c:showLegendKey val="0"/>
          <c:showVal val="0"/>
          <c:showCatName val="0"/>
          <c:showSerName val="0"/>
          <c:showPercent val="0"/>
          <c:showBubbleSize val="0"/>
        </c:dLbls>
        <c:axId val="128167279"/>
        <c:axId val="128161039"/>
      </c:areaChart>
      <c:catAx>
        <c:axId val="128167279"/>
        <c:scaling>
          <c:orientation val="minMax"/>
        </c:scaling>
        <c:delete val="1"/>
        <c:axPos val="b"/>
        <c:numFmt formatCode="General" sourceLinked="1"/>
        <c:majorTickMark val="out"/>
        <c:minorTickMark val="none"/>
        <c:tickLblPos val="nextTo"/>
        <c:crossAx val="128161039"/>
        <c:crosses val="autoZero"/>
        <c:auto val="1"/>
        <c:lblAlgn val="ctr"/>
        <c:lblOffset val="100"/>
        <c:noMultiLvlLbl val="0"/>
      </c:catAx>
      <c:valAx>
        <c:axId val="128161039"/>
        <c:scaling>
          <c:orientation val="minMax"/>
        </c:scaling>
        <c:delete val="1"/>
        <c:axPos val="l"/>
        <c:numFmt formatCode="0.00" sourceLinked="1"/>
        <c:majorTickMark val="none"/>
        <c:minorTickMark val="none"/>
        <c:tickLblPos val="nextTo"/>
        <c:crossAx val="1281672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FirstDashboard.xlsx]Pivot Report!PivotTable9</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0.72666666666666668"/>
        </c:manualLayout>
      </c:layout>
      <c:areaChart>
        <c:grouping val="standard"/>
        <c:varyColors val="0"/>
        <c:ser>
          <c:idx val="0"/>
          <c:order val="0"/>
          <c:tx>
            <c:strRef>
              <c:f>'Pivot Report'!$O$5</c:f>
              <c:strCache>
                <c:ptCount val="1"/>
                <c:pt idx="0">
                  <c:v>Total</c:v>
                </c:pt>
              </c:strCache>
            </c:strRef>
          </c:tx>
          <c:spPr>
            <a:solidFill>
              <a:schemeClr val="accent1"/>
            </a:solidFill>
            <a:ln w="25400">
              <a:noFill/>
            </a:ln>
            <a:effectLst/>
          </c:spPr>
          <c:cat>
            <c:strRef>
              <c:f>'Pivot Report'!$N$6:$N$36</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Report'!$O$6:$O$36</c:f>
              <c:numCache>
                <c:formatCode>0.00</c:formatCode>
                <c:ptCount val="30"/>
                <c:pt idx="0">
                  <c:v>4.8571428571428568</c:v>
                </c:pt>
                <c:pt idx="1">
                  <c:v>8</c:v>
                </c:pt>
                <c:pt idx="2">
                  <c:v>6</c:v>
                </c:pt>
                <c:pt idx="3">
                  <c:v>6.8</c:v>
                </c:pt>
                <c:pt idx="4">
                  <c:v>3.5</c:v>
                </c:pt>
                <c:pt idx="5">
                  <c:v>0.5</c:v>
                </c:pt>
                <c:pt idx="6">
                  <c:v>4</c:v>
                </c:pt>
                <c:pt idx="7">
                  <c:v>4.75</c:v>
                </c:pt>
                <c:pt idx="8">
                  <c:v>5</c:v>
                </c:pt>
                <c:pt idx="9">
                  <c:v>10</c:v>
                </c:pt>
                <c:pt idx="10">
                  <c:v>5.5</c:v>
                </c:pt>
                <c:pt idx="11">
                  <c:v>4</c:v>
                </c:pt>
                <c:pt idx="12">
                  <c:v>2.6666666666666665</c:v>
                </c:pt>
                <c:pt idx="13">
                  <c:v>5.1111111111111107</c:v>
                </c:pt>
                <c:pt idx="14">
                  <c:v>6.25</c:v>
                </c:pt>
                <c:pt idx="15">
                  <c:v>6.333333333333333</c:v>
                </c:pt>
                <c:pt idx="16">
                  <c:v>7.666666666666667</c:v>
                </c:pt>
                <c:pt idx="17">
                  <c:v>5.8</c:v>
                </c:pt>
                <c:pt idx="18">
                  <c:v>6.666666666666667</c:v>
                </c:pt>
                <c:pt idx="19">
                  <c:v>5.4444444444444446</c:v>
                </c:pt>
                <c:pt idx="20">
                  <c:v>4.4000000000000004</c:v>
                </c:pt>
                <c:pt idx="21">
                  <c:v>4.8</c:v>
                </c:pt>
                <c:pt idx="22">
                  <c:v>4</c:v>
                </c:pt>
                <c:pt idx="23">
                  <c:v>8.25</c:v>
                </c:pt>
                <c:pt idx="24">
                  <c:v>4.5</c:v>
                </c:pt>
                <c:pt idx="25">
                  <c:v>3.5</c:v>
                </c:pt>
                <c:pt idx="26">
                  <c:v>7</c:v>
                </c:pt>
                <c:pt idx="27">
                  <c:v>4.5</c:v>
                </c:pt>
                <c:pt idx="28">
                  <c:v>4.666666666666667</c:v>
                </c:pt>
                <c:pt idx="29">
                  <c:v>5.8</c:v>
                </c:pt>
              </c:numCache>
            </c:numRef>
          </c:val>
          <c:extLst>
            <c:ext xmlns:c16="http://schemas.microsoft.com/office/drawing/2014/chart" uri="{C3380CC4-5D6E-409C-BE32-E72D297353CC}">
              <c16:uniqueId val="{00000004-48E3-47D6-A78C-512D8D8111E7}"/>
            </c:ext>
          </c:extLst>
        </c:ser>
        <c:dLbls>
          <c:showLegendKey val="0"/>
          <c:showVal val="0"/>
          <c:showCatName val="0"/>
          <c:showSerName val="0"/>
          <c:showPercent val="0"/>
          <c:showBubbleSize val="0"/>
        </c:dLbls>
        <c:axId val="1795879808"/>
        <c:axId val="1795877888"/>
      </c:areaChart>
      <c:catAx>
        <c:axId val="1795879808"/>
        <c:scaling>
          <c:orientation val="minMax"/>
        </c:scaling>
        <c:delete val="1"/>
        <c:axPos val="b"/>
        <c:numFmt formatCode="General" sourceLinked="1"/>
        <c:majorTickMark val="out"/>
        <c:minorTickMark val="none"/>
        <c:tickLblPos val="nextTo"/>
        <c:crossAx val="1795877888"/>
        <c:crosses val="autoZero"/>
        <c:auto val="1"/>
        <c:lblAlgn val="ctr"/>
        <c:lblOffset val="100"/>
        <c:noMultiLvlLbl val="0"/>
      </c:catAx>
      <c:valAx>
        <c:axId val="1795877888"/>
        <c:scaling>
          <c:orientation val="minMax"/>
        </c:scaling>
        <c:delete val="1"/>
        <c:axPos val="l"/>
        <c:numFmt formatCode="0.00" sourceLinked="1"/>
        <c:majorTickMark val="none"/>
        <c:minorTickMark val="none"/>
        <c:tickLblPos val="nextTo"/>
        <c:crossAx val="17958798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FirstDashboard.xlsx]Pivot Report!PivotTable5</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Report'!$B$54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Report'!$A$55:$A$63</c:f>
              <c:strCache>
                <c:ptCount val="8"/>
                <c:pt idx="0">
                  <c:v>0-09</c:v>
                </c:pt>
                <c:pt idx="1">
                  <c:v>10-19</c:v>
                </c:pt>
                <c:pt idx="2">
                  <c:v>20-29</c:v>
                </c:pt>
                <c:pt idx="3">
                  <c:v>30-39</c:v>
                </c:pt>
                <c:pt idx="4">
                  <c:v>40-49</c:v>
                </c:pt>
                <c:pt idx="5">
                  <c:v>50-59</c:v>
                </c:pt>
                <c:pt idx="6">
                  <c:v>60-69</c:v>
                </c:pt>
                <c:pt idx="7">
                  <c:v>70-79</c:v>
                </c:pt>
              </c:strCache>
            </c:strRef>
          </c:cat>
          <c:val>
            <c:numRef>
              <c:f>'Pivot Report'!$B$55:$B$63</c:f>
              <c:numCache>
                <c:formatCode>0</c:formatCode>
                <c:ptCount val="8"/>
                <c:pt idx="0">
                  <c:v>77</c:v>
                </c:pt>
                <c:pt idx="1">
                  <c:v>50</c:v>
                </c:pt>
                <c:pt idx="2">
                  <c:v>67</c:v>
                </c:pt>
                <c:pt idx="3">
                  <c:v>53</c:v>
                </c:pt>
                <c:pt idx="4">
                  <c:v>59</c:v>
                </c:pt>
                <c:pt idx="5">
                  <c:v>59</c:v>
                </c:pt>
                <c:pt idx="6">
                  <c:v>48</c:v>
                </c:pt>
                <c:pt idx="7">
                  <c:v>58</c:v>
                </c:pt>
              </c:numCache>
            </c:numRef>
          </c:val>
          <c:extLst>
            <c:ext xmlns:c16="http://schemas.microsoft.com/office/drawing/2014/chart" uri="{C3380CC4-5D6E-409C-BE32-E72D297353CC}">
              <c16:uniqueId val="{00000004-3641-42B7-93B9-8EE320E05411}"/>
            </c:ext>
          </c:extLst>
        </c:ser>
        <c:dLbls>
          <c:showLegendKey val="0"/>
          <c:showVal val="0"/>
          <c:showCatName val="0"/>
          <c:showSerName val="0"/>
          <c:showPercent val="0"/>
          <c:showBubbleSize val="0"/>
        </c:dLbls>
        <c:gapWidth val="219"/>
        <c:overlap val="-27"/>
        <c:axId val="2144692191"/>
        <c:axId val="2144690751"/>
      </c:barChart>
      <c:catAx>
        <c:axId val="214469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2144690751"/>
        <c:crosses val="autoZero"/>
        <c:auto val="1"/>
        <c:lblAlgn val="ctr"/>
        <c:lblOffset val="100"/>
        <c:noMultiLvlLbl val="0"/>
      </c:catAx>
      <c:valAx>
        <c:axId val="2144690751"/>
        <c:scaling>
          <c:orientation val="minMax"/>
        </c:scaling>
        <c:delete val="1"/>
        <c:axPos val="l"/>
        <c:numFmt formatCode="0" sourceLinked="1"/>
        <c:majorTickMark val="none"/>
        <c:minorTickMark val="none"/>
        <c:tickLblPos val="nextTo"/>
        <c:crossAx val="2144692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FirstDashboard.xlsx]Pivot Report!PivotTable6</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1449705158560781"/>
                  <c:h val="0.19505747126436782"/>
                </c:manualLayout>
              </c15:layout>
            </c:ext>
          </c:extLst>
        </c:dLbl>
      </c:pivotFmt>
      <c:pivotFmt>
        <c:idx val="6"/>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3389099838358321"/>
                  <c:h val="0.20655172413793105"/>
                </c:manualLayout>
              </c15:layout>
            </c:ext>
          </c:extLst>
        </c:dLbl>
      </c:pivotFmt>
    </c:pivotFmts>
    <c:plotArea>
      <c:layout>
        <c:manualLayout>
          <c:layoutTarget val="inner"/>
          <c:xMode val="edge"/>
          <c:yMode val="edge"/>
          <c:x val="0.21731299157737688"/>
          <c:y val="0.20054937098379941"/>
          <c:w val="0.5500482176275705"/>
          <c:h val="0.65199656077473078"/>
        </c:manualLayout>
      </c:layout>
      <c:pieChart>
        <c:varyColors val="1"/>
        <c:ser>
          <c:idx val="0"/>
          <c:order val="0"/>
          <c:tx>
            <c:strRef>
              <c:f>'Pivot Report'!$B$68</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68F5-4CAE-8B2C-6FF5980119A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8F5-4CAE-8B2C-6FF5980119A8}"/>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1449705158560781"/>
                      <c:h val="0.19505747126436782"/>
                    </c:manualLayout>
                  </c15:layout>
                </c:ext>
                <c:ext xmlns:c16="http://schemas.microsoft.com/office/drawing/2014/chart" uri="{C3380CC4-5D6E-409C-BE32-E72D297353CC}">
                  <c16:uniqueId val="{00000001-68F5-4CAE-8B2C-6FF5980119A8}"/>
                </c:ext>
              </c:extLst>
            </c:dLbl>
            <c:dLbl>
              <c:idx val="1"/>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3389099838358321"/>
                      <c:h val="0.20655172413793105"/>
                    </c:manualLayout>
                  </c15:layout>
                </c:ext>
                <c:ext xmlns:c16="http://schemas.microsoft.com/office/drawing/2014/chart" uri="{C3380CC4-5D6E-409C-BE32-E72D297353CC}">
                  <c16:uniqueId val="{00000003-68F5-4CAE-8B2C-6FF5980119A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Report'!$A$69:$A$71</c:f>
              <c:strCache>
                <c:ptCount val="2"/>
                <c:pt idx="0">
                  <c:v>Delay</c:v>
                </c:pt>
                <c:pt idx="1">
                  <c:v>On Time</c:v>
                </c:pt>
              </c:strCache>
            </c:strRef>
          </c:cat>
          <c:val>
            <c:numRef>
              <c:f>'Pivot Report'!$B$69:$B$71</c:f>
              <c:numCache>
                <c:formatCode>0</c:formatCode>
                <c:ptCount val="2"/>
                <c:pt idx="0">
                  <c:v>262</c:v>
                </c:pt>
                <c:pt idx="1">
                  <c:v>209</c:v>
                </c:pt>
              </c:numCache>
            </c:numRef>
          </c:val>
          <c:extLst>
            <c:ext xmlns:c16="http://schemas.microsoft.com/office/drawing/2014/chart" uri="{C3380CC4-5D6E-409C-BE32-E72D297353CC}">
              <c16:uniqueId val="{00000008-5403-4C0B-8E1E-9009F5D50C0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5096049666828792"/>
          <c:y val="2.5378767309258761E-2"/>
          <c:w val="0.36242399901655892"/>
          <c:h val="0.3261853271223095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FirstDashboard.xlsx]Pivot Report!PivotTable10</c:name>
    <c:fmtId val="24"/>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7964858811585491"/>
                  <c:h val="9.7118328958880118E-2"/>
                </c:manualLayout>
              </c15:layout>
            </c:ext>
          </c:extLst>
        </c:dLbl>
      </c:pivotFmt>
      <c:pivotFmt>
        <c:idx val="2"/>
        <c:spPr>
          <a:solidFill>
            <a:schemeClr val="accent2"/>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7964858811585491"/>
                  <c:h val="9.7118328958880118E-2"/>
                </c:manualLayout>
              </c15:layout>
            </c:ext>
          </c:extLst>
        </c:dLbl>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7964858811585491"/>
                  <c:h val="9.7118328958880118E-2"/>
                </c:manualLayout>
              </c15:layout>
            </c:ext>
          </c:extLst>
        </c:dLbl>
      </c:pivotFmt>
      <c:pivotFmt>
        <c:idx val="5"/>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7964858811585491"/>
                  <c:h val="9.7118328958880118E-2"/>
                </c:manualLayout>
              </c15:layout>
            </c:ext>
          </c:extLst>
        </c:dLbl>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9.6273381382219088E-3"/>
              <c:y val="0"/>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8554546198791397"/>
                  <c:h val="0.14174916273953733"/>
                </c:manualLayout>
              </c15:layout>
            </c:ext>
          </c:extLst>
        </c:dLbl>
      </c:pivotFmt>
      <c:pivotFmt>
        <c:idx val="8"/>
        <c:spPr>
          <a:solidFill>
            <a:schemeClr val="accent1"/>
          </a:solidFill>
          <a:ln>
            <a:noFill/>
          </a:ln>
          <a:effectLst>
            <a:outerShdw blurRad="317500" algn="ctr" rotWithShape="0">
              <a:prstClr val="black">
                <a:alpha val="25000"/>
              </a:prstClr>
            </a:outerShdw>
          </a:effectLst>
        </c:spPr>
        <c:dLbl>
          <c:idx val="0"/>
          <c:layout>
            <c:manualLayout>
              <c:x val="3.7901413874343169E-7"/>
              <c:y val="-5.1138481750241081E-1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32405329848424663"/>
                  <c:h val="0.14174916273953733"/>
                </c:manualLayout>
              </c15:layout>
            </c:ext>
          </c:extLst>
        </c:dLbl>
      </c:pivotFmt>
    </c:pivotFmts>
    <c:plotArea>
      <c:layout>
        <c:manualLayout>
          <c:layoutTarget val="inner"/>
          <c:xMode val="edge"/>
          <c:yMode val="edge"/>
          <c:x val="0.19973287083501362"/>
          <c:y val="0.19389915623824935"/>
          <c:w val="0.53759971861990341"/>
          <c:h val="0.62307640946165821"/>
        </c:manualLayout>
      </c:layout>
      <c:doughnutChart>
        <c:varyColors val="1"/>
        <c:ser>
          <c:idx val="0"/>
          <c:order val="0"/>
          <c:tx>
            <c:strRef>
              <c:f>'Pivot Report'!$B$75</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CE9B-4541-AC2E-A8FCCC00DE8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E9B-4541-AC2E-A8FCCC00DE83}"/>
              </c:ext>
            </c:extLst>
          </c:dPt>
          <c:dLbls>
            <c:dLbl>
              <c:idx val="0"/>
              <c:layout>
                <c:manualLayout>
                  <c:x val="9.6273381382219088E-3"/>
                  <c:y val="0"/>
                </c:manualLayout>
              </c:layout>
              <c:showLegendKey val="0"/>
              <c:showVal val="0"/>
              <c:showCatName val="0"/>
              <c:showSerName val="0"/>
              <c:showPercent val="1"/>
              <c:showBubbleSize val="0"/>
              <c:extLst>
                <c:ext xmlns:c15="http://schemas.microsoft.com/office/drawing/2012/chart" uri="{CE6537A1-D6FC-4f65-9D91-7224C49458BB}">
                  <c15:layout>
                    <c:manualLayout>
                      <c:w val="0.28554546198791397"/>
                      <c:h val="0.14174916273953733"/>
                    </c:manualLayout>
                  </c15:layout>
                </c:ext>
                <c:ext xmlns:c16="http://schemas.microsoft.com/office/drawing/2014/chart" uri="{C3380CC4-5D6E-409C-BE32-E72D297353CC}">
                  <c16:uniqueId val="{00000001-CE9B-4541-AC2E-A8FCCC00DE83}"/>
                </c:ext>
              </c:extLst>
            </c:dLbl>
            <c:dLbl>
              <c:idx val="1"/>
              <c:layout>
                <c:manualLayout>
                  <c:x val="3.7901413874343169E-7"/>
                  <c:y val="-5.1138481750241081E-17"/>
                </c:manualLayout>
              </c:layout>
              <c:showLegendKey val="0"/>
              <c:showVal val="0"/>
              <c:showCatName val="0"/>
              <c:showSerName val="0"/>
              <c:showPercent val="1"/>
              <c:showBubbleSize val="0"/>
              <c:extLst>
                <c:ext xmlns:c15="http://schemas.microsoft.com/office/drawing/2012/chart" uri="{CE6537A1-D6FC-4f65-9D91-7224C49458BB}">
                  <c15:layout>
                    <c:manualLayout>
                      <c:w val="0.32405329848424663"/>
                      <c:h val="0.14174916273953733"/>
                    </c:manualLayout>
                  </c15:layout>
                </c:ext>
                <c:ext xmlns:c16="http://schemas.microsoft.com/office/drawing/2014/chart" uri="{C3380CC4-5D6E-409C-BE32-E72D297353CC}">
                  <c16:uniqueId val="{00000003-CE9B-4541-AC2E-A8FCCC00DE83}"/>
                </c:ext>
              </c:extLst>
            </c:dLbl>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Report'!$A$76:$A$78</c:f>
              <c:strCache>
                <c:ptCount val="2"/>
                <c:pt idx="0">
                  <c:v>Female</c:v>
                </c:pt>
                <c:pt idx="1">
                  <c:v>Male</c:v>
                </c:pt>
              </c:strCache>
            </c:strRef>
          </c:cat>
          <c:val>
            <c:numRef>
              <c:f>'Pivot Report'!$B$76:$B$78</c:f>
              <c:numCache>
                <c:formatCode>0</c:formatCode>
                <c:ptCount val="2"/>
                <c:pt idx="0">
                  <c:v>227</c:v>
                </c:pt>
                <c:pt idx="1">
                  <c:v>244</c:v>
                </c:pt>
              </c:numCache>
            </c:numRef>
          </c:val>
          <c:extLst>
            <c:ext xmlns:c16="http://schemas.microsoft.com/office/drawing/2014/chart" uri="{C3380CC4-5D6E-409C-BE32-E72D297353CC}">
              <c16:uniqueId val="{00000008-9837-4C7F-AAAB-A0924A107726}"/>
            </c:ext>
          </c:extLst>
        </c:ser>
        <c:dLbls>
          <c:showLegendKey val="0"/>
          <c:showVal val="0"/>
          <c:showCatName val="0"/>
          <c:showSerName val="0"/>
          <c:showPercent val="1"/>
          <c:showBubbleSize val="0"/>
          <c:showLeaderLines val="1"/>
        </c:dLbls>
        <c:firstSliceAng val="0"/>
        <c:holeSize val="45"/>
      </c:doughnutChart>
      <c:spPr>
        <a:noFill/>
        <a:ln>
          <a:noFill/>
        </a:ln>
        <a:effectLst/>
      </c:spPr>
    </c:plotArea>
    <c:legend>
      <c:legendPos val="r"/>
      <c:layout>
        <c:manualLayout>
          <c:xMode val="edge"/>
          <c:yMode val="edge"/>
          <c:x val="5.343549975918447E-2"/>
          <c:y val="5.3114644063269829E-2"/>
          <c:w val="0.3314145110869216"/>
          <c:h val="0.31680570279593301"/>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FirstDashboard.xlsx]Pivot Report!PivotTable11</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Report'!$B$82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Report'!$A$83:$A$91</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'Pivot Report'!$B$83:$B$91</c:f>
              <c:numCache>
                <c:formatCode>0</c:formatCode>
                <c:ptCount val="8"/>
                <c:pt idx="0">
                  <c:v>1</c:v>
                </c:pt>
                <c:pt idx="1">
                  <c:v>9</c:v>
                </c:pt>
                <c:pt idx="2">
                  <c:v>13</c:v>
                </c:pt>
                <c:pt idx="3">
                  <c:v>15</c:v>
                </c:pt>
                <c:pt idx="4">
                  <c:v>17</c:v>
                </c:pt>
                <c:pt idx="5">
                  <c:v>54</c:v>
                </c:pt>
                <c:pt idx="6">
                  <c:v>96</c:v>
                </c:pt>
                <c:pt idx="7">
                  <c:v>266</c:v>
                </c:pt>
              </c:numCache>
            </c:numRef>
          </c:val>
          <c:extLst>
            <c:ext xmlns:c16="http://schemas.microsoft.com/office/drawing/2014/chart" uri="{C3380CC4-5D6E-409C-BE32-E72D297353CC}">
              <c16:uniqueId val="{00000004-81D3-467D-A426-B44D6048F580}"/>
            </c:ext>
          </c:extLst>
        </c:ser>
        <c:dLbls>
          <c:showLegendKey val="0"/>
          <c:showVal val="0"/>
          <c:showCatName val="0"/>
          <c:showSerName val="0"/>
          <c:showPercent val="0"/>
          <c:showBubbleSize val="0"/>
        </c:dLbls>
        <c:gapWidth val="70"/>
        <c:axId val="1944442544"/>
        <c:axId val="1944440144"/>
      </c:barChart>
      <c:catAx>
        <c:axId val="1944442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944440144"/>
        <c:crosses val="autoZero"/>
        <c:auto val="1"/>
        <c:lblAlgn val="ctr"/>
        <c:lblOffset val="100"/>
        <c:noMultiLvlLbl val="0"/>
      </c:catAx>
      <c:valAx>
        <c:axId val="1944440144"/>
        <c:scaling>
          <c:orientation val="minMax"/>
        </c:scaling>
        <c:delete val="1"/>
        <c:axPos val="b"/>
        <c:numFmt formatCode="0" sourceLinked="1"/>
        <c:majorTickMark val="none"/>
        <c:minorTickMark val="none"/>
        <c:tickLblPos val="nextTo"/>
        <c:crossAx val="1944442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FirstDashboard.xlsx]Pivot Report!PivotTable7</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Daily</a:t>
            </a:r>
            <a:r>
              <a:rPr lang="en-US" baseline="0"/>
              <a:t> NO of Patients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areaChart>
        <c:grouping val="standard"/>
        <c:varyColors val="0"/>
        <c:ser>
          <c:idx val="0"/>
          <c:order val="0"/>
          <c:tx>
            <c:strRef>
              <c:f>'Pivot Report'!$G$4</c:f>
              <c:strCache>
                <c:ptCount val="1"/>
                <c:pt idx="0">
                  <c:v>Total</c:v>
                </c:pt>
              </c:strCache>
            </c:strRef>
          </c:tx>
          <c:spPr>
            <a:solidFill>
              <a:schemeClr val="accent1">
                <a:alpha val="85000"/>
              </a:schemeClr>
            </a:solidFill>
            <a:ln w="25400">
              <a:noFill/>
            </a:ln>
            <a:effectLst>
              <a:innerShdw dist="127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Report'!$F$5:$F$35</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Report'!$G$5:$G$35</c:f>
              <c:numCache>
                <c:formatCode>General</c:formatCode>
                <c:ptCount val="30"/>
                <c:pt idx="0">
                  <c:v>20</c:v>
                </c:pt>
                <c:pt idx="1">
                  <c:v>11</c:v>
                </c:pt>
                <c:pt idx="2">
                  <c:v>18</c:v>
                </c:pt>
                <c:pt idx="3">
                  <c:v>16</c:v>
                </c:pt>
                <c:pt idx="4">
                  <c:v>11</c:v>
                </c:pt>
                <c:pt idx="5">
                  <c:v>11</c:v>
                </c:pt>
                <c:pt idx="6">
                  <c:v>14</c:v>
                </c:pt>
                <c:pt idx="7">
                  <c:v>16</c:v>
                </c:pt>
                <c:pt idx="8">
                  <c:v>18</c:v>
                </c:pt>
                <c:pt idx="9">
                  <c:v>10</c:v>
                </c:pt>
                <c:pt idx="10">
                  <c:v>23</c:v>
                </c:pt>
                <c:pt idx="11">
                  <c:v>19</c:v>
                </c:pt>
                <c:pt idx="12">
                  <c:v>14</c:v>
                </c:pt>
                <c:pt idx="13">
                  <c:v>20</c:v>
                </c:pt>
                <c:pt idx="14">
                  <c:v>15</c:v>
                </c:pt>
                <c:pt idx="15">
                  <c:v>12</c:v>
                </c:pt>
                <c:pt idx="16">
                  <c:v>17</c:v>
                </c:pt>
                <c:pt idx="17">
                  <c:v>18</c:v>
                </c:pt>
                <c:pt idx="18">
                  <c:v>16</c:v>
                </c:pt>
                <c:pt idx="19">
                  <c:v>20</c:v>
                </c:pt>
                <c:pt idx="20">
                  <c:v>17</c:v>
                </c:pt>
                <c:pt idx="21">
                  <c:v>19</c:v>
                </c:pt>
                <c:pt idx="22">
                  <c:v>17</c:v>
                </c:pt>
                <c:pt idx="23">
                  <c:v>18</c:v>
                </c:pt>
                <c:pt idx="24">
                  <c:v>18</c:v>
                </c:pt>
                <c:pt idx="25">
                  <c:v>15</c:v>
                </c:pt>
                <c:pt idx="26">
                  <c:v>10</c:v>
                </c:pt>
                <c:pt idx="27">
                  <c:v>14</c:v>
                </c:pt>
                <c:pt idx="28">
                  <c:v>9</c:v>
                </c:pt>
                <c:pt idx="29">
                  <c:v>15</c:v>
                </c:pt>
              </c:numCache>
            </c:numRef>
          </c:val>
          <c:extLst>
            <c:ext xmlns:c16="http://schemas.microsoft.com/office/drawing/2014/chart" uri="{C3380CC4-5D6E-409C-BE32-E72D297353CC}">
              <c16:uniqueId val="{00000003-6BD2-45DA-BB4C-16D3008E63EB}"/>
            </c:ext>
          </c:extLst>
        </c:ser>
        <c:dLbls>
          <c:showLegendKey val="0"/>
          <c:showVal val="0"/>
          <c:showCatName val="0"/>
          <c:showSerName val="0"/>
          <c:showPercent val="0"/>
          <c:showBubbleSize val="0"/>
        </c:dLbls>
        <c:axId val="1816190064"/>
        <c:axId val="1816188144"/>
      </c:areaChart>
      <c:catAx>
        <c:axId val="18161900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16188144"/>
        <c:crosses val="autoZero"/>
        <c:auto val="1"/>
        <c:lblAlgn val="ctr"/>
        <c:lblOffset val="100"/>
        <c:noMultiLvlLbl val="0"/>
      </c:catAx>
      <c:valAx>
        <c:axId val="181618814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161900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FirstDashboard.xlsx]Pivot Report!PivotTable8</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a:t>
            </a:r>
            <a:r>
              <a:rPr lang="en-US" baseline="0"/>
              <a:t> Waittime Daily trend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359900373599E-2"/>
          <c:y val="0.21505376344086022"/>
          <c:w val="0.85886259858862601"/>
          <c:h val="0.56989247311827962"/>
        </c:manualLayout>
      </c:layout>
      <c:areaChart>
        <c:grouping val="standard"/>
        <c:varyColors val="0"/>
        <c:ser>
          <c:idx val="0"/>
          <c:order val="0"/>
          <c:tx>
            <c:strRef>
              <c:f>'Pivot Report'!$L$4</c:f>
              <c:strCache>
                <c:ptCount val="1"/>
                <c:pt idx="0">
                  <c:v>Total</c:v>
                </c:pt>
              </c:strCache>
            </c:strRef>
          </c:tx>
          <c:spPr>
            <a:solidFill>
              <a:schemeClr val="accent1">
                <a:alpha val="85000"/>
              </a:schemeClr>
            </a:solidFill>
            <a:ln w="25400">
              <a:noFill/>
            </a:ln>
            <a:effectLst>
              <a:innerShdw dist="127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Report'!$K$5:$K$35</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Report'!$L$5:$L$35</c:f>
              <c:numCache>
                <c:formatCode>0.00</c:formatCode>
                <c:ptCount val="30"/>
                <c:pt idx="0">
                  <c:v>37.4</c:v>
                </c:pt>
                <c:pt idx="1">
                  <c:v>38.545454545454547</c:v>
                </c:pt>
                <c:pt idx="2">
                  <c:v>31.333333333333332</c:v>
                </c:pt>
                <c:pt idx="3">
                  <c:v>36.5</c:v>
                </c:pt>
                <c:pt idx="4">
                  <c:v>25.727272727272727</c:v>
                </c:pt>
                <c:pt idx="5">
                  <c:v>29.272727272727273</c:v>
                </c:pt>
                <c:pt idx="6">
                  <c:v>33.5</c:v>
                </c:pt>
                <c:pt idx="7">
                  <c:v>27.1875</c:v>
                </c:pt>
                <c:pt idx="8">
                  <c:v>30.333333333333332</c:v>
                </c:pt>
                <c:pt idx="9">
                  <c:v>32.5</c:v>
                </c:pt>
                <c:pt idx="10">
                  <c:v>33.565217391304351</c:v>
                </c:pt>
                <c:pt idx="11">
                  <c:v>37.473684210526315</c:v>
                </c:pt>
                <c:pt idx="12">
                  <c:v>33.857142857142854</c:v>
                </c:pt>
                <c:pt idx="13">
                  <c:v>32.25</c:v>
                </c:pt>
                <c:pt idx="14">
                  <c:v>43.666666666666664</c:v>
                </c:pt>
                <c:pt idx="15">
                  <c:v>30.166666666666668</c:v>
                </c:pt>
                <c:pt idx="16">
                  <c:v>33.823529411764703</c:v>
                </c:pt>
                <c:pt idx="17">
                  <c:v>32.5</c:v>
                </c:pt>
                <c:pt idx="18">
                  <c:v>39.25</c:v>
                </c:pt>
                <c:pt idx="19">
                  <c:v>33.549999999999997</c:v>
                </c:pt>
                <c:pt idx="20">
                  <c:v>31.117647058823529</c:v>
                </c:pt>
                <c:pt idx="21">
                  <c:v>36.94736842105263</c:v>
                </c:pt>
                <c:pt idx="22">
                  <c:v>43</c:v>
                </c:pt>
                <c:pt idx="23">
                  <c:v>33.055555555555557</c:v>
                </c:pt>
                <c:pt idx="24">
                  <c:v>32.888888888888886</c:v>
                </c:pt>
                <c:pt idx="25">
                  <c:v>26.6</c:v>
                </c:pt>
                <c:pt idx="26">
                  <c:v>28.2</c:v>
                </c:pt>
                <c:pt idx="27">
                  <c:v>37.642857142857146</c:v>
                </c:pt>
                <c:pt idx="28">
                  <c:v>40.333333333333336</c:v>
                </c:pt>
                <c:pt idx="29">
                  <c:v>35.93333333333333</c:v>
                </c:pt>
              </c:numCache>
            </c:numRef>
          </c:val>
          <c:extLst>
            <c:ext xmlns:c16="http://schemas.microsoft.com/office/drawing/2014/chart" uri="{C3380CC4-5D6E-409C-BE32-E72D297353CC}">
              <c16:uniqueId val="{00000003-1B1E-4794-BB8A-92965DE82C75}"/>
            </c:ext>
          </c:extLst>
        </c:ser>
        <c:dLbls>
          <c:showLegendKey val="0"/>
          <c:showVal val="0"/>
          <c:showCatName val="0"/>
          <c:showSerName val="0"/>
          <c:showPercent val="0"/>
          <c:showBubbleSize val="0"/>
        </c:dLbls>
        <c:axId val="128167279"/>
        <c:axId val="128161039"/>
      </c:areaChart>
      <c:catAx>
        <c:axId val="1281672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700" b="0" i="0" u="none" strike="noStrike" kern="1200" cap="all" baseline="0">
                <a:solidFill>
                  <a:schemeClr val="dk1">
                    <a:lumMod val="75000"/>
                    <a:lumOff val="25000"/>
                  </a:schemeClr>
                </a:solidFill>
                <a:latin typeface="+mn-lt"/>
                <a:ea typeface="+mn-ea"/>
                <a:cs typeface="+mn-cs"/>
              </a:defRPr>
            </a:pPr>
            <a:endParaRPr lang="en-US"/>
          </a:p>
        </c:txPr>
        <c:crossAx val="128161039"/>
        <c:crosses val="autoZero"/>
        <c:auto val="1"/>
        <c:lblAlgn val="ctr"/>
        <c:lblOffset val="100"/>
        <c:noMultiLvlLbl val="0"/>
      </c:catAx>
      <c:valAx>
        <c:axId val="12816103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crossAx val="1281672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FirstDashboard.xlsx]Pivot Report!PivotTable9</c:name>
    <c:fmtId val="2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Satisfaction</a:t>
            </a:r>
            <a:r>
              <a:rPr lang="en-US" baseline="0"/>
              <a:t> Score Daily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Report'!$O$5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Report'!$N$6:$N$36</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Report'!$O$6:$O$36</c:f>
              <c:numCache>
                <c:formatCode>0.00</c:formatCode>
                <c:ptCount val="30"/>
                <c:pt idx="0">
                  <c:v>4.8571428571428568</c:v>
                </c:pt>
                <c:pt idx="1">
                  <c:v>8</c:v>
                </c:pt>
                <c:pt idx="2">
                  <c:v>6</c:v>
                </c:pt>
                <c:pt idx="3">
                  <c:v>6.8</c:v>
                </c:pt>
                <c:pt idx="4">
                  <c:v>3.5</c:v>
                </c:pt>
                <c:pt idx="5">
                  <c:v>0.5</c:v>
                </c:pt>
                <c:pt idx="6">
                  <c:v>4</c:v>
                </c:pt>
                <c:pt idx="7">
                  <c:v>4.75</c:v>
                </c:pt>
                <c:pt idx="8">
                  <c:v>5</c:v>
                </c:pt>
                <c:pt idx="9">
                  <c:v>10</c:v>
                </c:pt>
                <c:pt idx="10">
                  <c:v>5.5</c:v>
                </c:pt>
                <c:pt idx="11">
                  <c:v>4</c:v>
                </c:pt>
                <c:pt idx="12">
                  <c:v>2.6666666666666665</c:v>
                </c:pt>
                <c:pt idx="13">
                  <c:v>5.1111111111111107</c:v>
                </c:pt>
                <c:pt idx="14">
                  <c:v>6.25</c:v>
                </c:pt>
                <c:pt idx="15">
                  <c:v>6.333333333333333</c:v>
                </c:pt>
                <c:pt idx="16">
                  <c:v>7.666666666666667</c:v>
                </c:pt>
                <c:pt idx="17">
                  <c:v>5.8</c:v>
                </c:pt>
                <c:pt idx="18">
                  <c:v>6.666666666666667</c:v>
                </c:pt>
                <c:pt idx="19">
                  <c:v>5.4444444444444446</c:v>
                </c:pt>
                <c:pt idx="20">
                  <c:v>4.4000000000000004</c:v>
                </c:pt>
                <c:pt idx="21">
                  <c:v>4.8</c:v>
                </c:pt>
                <c:pt idx="22">
                  <c:v>4</c:v>
                </c:pt>
                <c:pt idx="23">
                  <c:v>8.25</c:v>
                </c:pt>
                <c:pt idx="24">
                  <c:v>4.5</c:v>
                </c:pt>
                <c:pt idx="25">
                  <c:v>3.5</c:v>
                </c:pt>
                <c:pt idx="26">
                  <c:v>7</c:v>
                </c:pt>
                <c:pt idx="27">
                  <c:v>4.5</c:v>
                </c:pt>
                <c:pt idx="28">
                  <c:v>4.666666666666667</c:v>
                </c:pt>
                <c:pt idx="29">
                  <c:v>5.8</c:v>
                </c:pt>
              </c:numCache>
            </c:numRef>
          </c:val>
          <c:extLst>
            <c:ext xmlns:c16="http://schemas.microsoft.com/office/drawing/2014/chart" uri="{C3380CC4-5D6E-409C-BE32-E72D297353CC}">
              <c16:uniqueId val="{00000003-FAFA-4F61-8360-36ED8D609D85}"/>
            </c:ext>
          </c:extLst>
        </c:ser>
        <c:dLbls>
          <c:showLegendKey val="0"/>
          <c:showVal val="0"/>
          <c:showCatName val="0"/>
          <c:showSerName val="0"/>
          <c:showPercent val="0"/>
          <c:showBubbleSize val="0"/>
        </c:dLbls>
        <c:axId val="1795879808"/>
        <c:axId val="1795877888"/>
      </c:areaChart>
      <c:catAx>
        <c:axId val="1795879808"/>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795877888"/>
        <c:crosses val="autoZero"/>
        <c:auto val="1"/>
        <c:lblAlgn val="ctr"/>
        <c:lblOffset val="100"/>
        <c:noMultiLvlLbl val="0"/>
      </c:catAx>
      <c:valAx>
        <c:axId val="1795877888"/>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7958798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itent '!A1"/><Relationship Id="rId13" Type="http://schemas.openxmlformats.org/officeDocument/2006/relationships/chart" Target="../charts/chart7.xml"/><Relationship Id="rId18" Type="http://schemas.openxmlformats.org/officeDocument/2006/relationships/chart" Target="../charts/chart11.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A1"/><Relationship Id="rId17" Type="http://schemas.openxmlformats.org/officeDocument/2006/relationships/chart" Target="../charts/chart10.xml"/><Relationship Id="rId2" Type="http://schemas.openxmlformats.org/officeDocument/2006/relationships/image" Target="../media/image2.png"/><Relationship Id="rId16"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6.xml"/><Relationship Id="rId5" Type="http://schemas.openxmlformats.org/officeDocument/2006/relationships/image" Target="../media/image5.svg"/><Relationship Id="rId15" Type="http://schemas.openxmlformats.org/officeDocument/2006/relationships/chart" Target="../charts/chart8.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3.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4.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xdr:col>
      <xdr:colOff>478735</xdr:colOff>
      <xdr:row>2</xdr:row>
      <xdr:rowOff>63611</xdr:rowOff>
    </xdr:from>
    <xdr:to>
      <xdr:col>2</xdr:col>
      <xdr:colOff>116299</xdr:colOff>
      <xdr:row>7</xdr:row>
      <xdr:rowOff>125896</xdr:rowOff>
    </xdr:to>
    <mc:AlternateContent xmlns:mc="http://schemas.openxmlformats.org/markup-compatibility/2006" xmlns:a14="http://schemas.microsoft.com/office/drawing/2010/main">
      <mc:Choice Requires="a14">
        <xdr:graphicFrame macro="">
          <xdr:nvGraphicFramePr>
            <xdr:cNvPr id="4" name="Date (Month)">
              <a:extLst>
                <a:ext uri="{FF2B5EF4-FFF2-40B4-BE49-F238E27FC236}">
                  <a16:creationId xmlns:a16="http://schemas.microsoft.com/office/drawing/2014/main" id="{ADF67854-B8CA-3E02-EE0D-CC349B9D60A5}"/>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2744857" y="434672"/>
              <a:ext cx="793474" cy="9899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490330</xdr:colOff>
      <xdr:row>10</xdr:row>
      <xdr:rowOff>59635</xdr:rowOff>
    </xdr:from>
    <xdr:to>
      <xdr:col>3</xdr:col>
      <xdr:colOff>185530</xdr:colOff>
      <xdr:row>18</xdr:row>
      <xdr:rowOff>76199</xdr:rowOff>
    </xdr:to>
    <xdr:graphicFrame macro="">
      <xdr:nvGraphicFramePr>
        <xdr:cNvPr id="5" name="Chart 4">
          <a:extLst>
            <a:ext uri="{FF2B5EF4-FFF2-40B4-BE49-F238E27FC236}">
              <a16:creationId xmlns:a16="http://schemas.microsoft.com/office/drawing/2014/main" id="{4074BF93-EA72-4454-675A-E88A51DF58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145773</xdr:colOff>
      <xdr:row>19</xdr:row>
      <xdr:rowOff>129209</xdr:rowOff>
    </xdr:from>
    <xdr:to>
      <xdr:col>3</xdr:col>
      <xdr:colOff>0</xdr:colOff>
      <xdr:row>24</xdr:row>
      <xdr:rowOff>132523</xdr:rowOff>
    </xdr:to>
    <xdr:graphicFrame macro="">
      <xdr:nvGraphicFramePr>
        <xdr:cNvPr id="6" name="Chart 5">
          <a:extLst>
            <a:ext uri="{FF2B5EF4-FFF2-40B4-BE49-F238E27FC236}">
              <a16:creationId xmlns:a16="http://schemas.microsoft.com/office/drawing/2014/main" id="{F6FED885-FB6C-F498-0606-4AD4B74228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271669</xdr:colOff>
      <xdr:row>8</xdr:row>
      <xdr:rowOff>9939</xdr:rowOff>
    </xdr:from>
    <xdr:to>
      <xdr:col>19</xdr:col>
      <xdr:colOff>510208</xdr:colOff>
      <xdr:row>18</xdr:row>
      <xdr:rowOff>59634</xdr:rowOff>
    </xdr:to>
    <xdr:graphicFrame macro="">
      <xdr:nvGraphicFramePr>
        <xdr:cNvPr id="7" name="Chart 6">
          <a:extLst>
            <a:ext uri="{FF2B5EF4-FFF2-40B4-BE49-F238E27FC236}">
              <a16:creationId xmlns:a16="http://schemas.microsoft.com/office/drawing/2014/main" id="{63C89CE3-9E8F-6209-E653-1666AF6BEA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636101</xdr:colOff>
      <xdr:row>47</xdr:row>
      <xdr:rowOff>176917</xdr:rowOff>
    </xdr:from>
    <xdr:to>
      <xdr:col>3</xdr:col>
      <xdr:colOff>1311964</xdr:colOff>
      <xdr:row>50</xdr:row>
      <xdr:rowOff>0</xdr:rowOff>
    </xdr:to>
    <xdr:graphicFrame macro="">
      <xdr:nvGraphicFramePr>
        <xdr:cNvPr id="2" name="Chart 1">
          <a:extLst>
            <a:ext uri="{FF2B5EF4-FFF2-40B4-BE49-F238E27FC236}">
              <a16:creationId xmlns:a16="http://schemas.microsoft.com/office/drawing/2014/main" id="{B634BA0C-CAC9-902D-B51C-D445BE1894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1073095</xdr:colOff>
      <xdr:row>93</xdr:row>
      <xdr:rowOff>27831</xdr:rowOff>
    </xdr:from>
    <xdr:to>
      <xdr:col>5</xdr:col>
      <xdr:colOff>543341</xdr:colOff>
      <xdr:row>95</xdr:row>
      <xdr:rowOff>66261</xdr:rowOff>
    </xdr:to>
    <mc:AlternateContent xmlns:mc="http://schemas.openxmlformats.org/markup-compatibility/2006" xmlns:a14="http://schemas.microsoft.com/office/drawing/2010/main">
      <mc:Choice Requires="a14">
        <xdr:graphicFrame macro="">
          <xdr:nvGraphicFramePr>
            <xdr:cNvPr id="3" name="Date (Year)">
              <a:extLst>
                <a:ext uri="{FF2B5EF4-FFF2-40B4-BE49-F238E27FC236}">
                  <a16:creationId xmlns:a16="http://schemas.microsoft.com/office/drawing/2014/main" id="{58D1382D-A6CF-1CF9-29A6-040D84C50BBF}"/>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909060" y="17282161"/>
              <a:ext cx="1623724" cy="4094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57151</xdr:colOff>
      <xdr:row>0</xdr:row>
      <xdr:rowOff>57151</xdr:rowOff>
    </xdr:from>
    <xdr:to>
      <xdr:col>5</xdr:col>
      <xdr:colOff>215590</xdr:colOff>
      <xdr:row>3</xdr:row>
      <xdr:rowOff>4764</xdr:rowOff>
    </xdr:to>
    <xdr:sp macro="" textlink="">
      <xdr:nvSpPr>
        <xdr:cNvPr id="2" name="Rectangle: Rounded Corners 1">
          <a:extLst>
            <a:ext uri="{FF2B5EF4-FFF2-40B4-BE49-F238E27FC236}">
              <a16:creationId xmlns:a16="http://schemas.microsoft.com/office/drawing/2014/main" id="{3C3F52ED-D568-9E39-6274-B12A8397D101}"/>
            </a:ext>
          </a:extLst>
        </xdr:cNvPr>
        <xdr:cNvSpPr/>
      </xdr:nvSpPr>
      <xdr:spPr>
        <a:xfrm>
          <a:off x="57151" y="57151"/>
          <a:ext cx="3206439" cy="494023"/>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p>
      </xdr:txBody>
    </xdr:sp>
    <xdr:clientData/>
  </xdr:twoCellAnchor>
  <xdr:twoCellAnchor editAs="absolute">
    <xdr:from>
      <xdr:col>5</xdr:col>
      <xdr:colOff>252761</xdr:colOff>
      <xdr:row>0</xdr:row>
      <xdr:rowOff>57151</xdr:rowOff>
    </xdr:from>
    <xdr:to>
      <xdr:col>7</xdr:col>
      <xdr:colOff>23814</xdr:colOff>
      <xdr:row>3</xdr:row>
      <xdr:rowOff>4764</xdr:rowOff>
    </xdr:to>
    <xdr:sp macro="" textlink="">
      <xdr:nvSpPr>
        <xdr:cNvPr id="5" name="Rectangle: Rounded Corners 4">
          <a:extLst>
            <a:ext uri="{FF2B5EF4-FFF2-40B4-BE49-F238E27FC236}">
              <a16:creationId xmlns:a16="http://schemas.microsoft.com/office/drawing/2014/main" id="{506FC2F6-04F9-985C-19A3-0BDCD70ECC46}"/>
            </a:ext>
          </a:extLst>
        </xdr:cNvPr>
        <xdr:cNvSpPr/>
      </xdr:nvSpPr>
      <xdr:spPr>
        <a:xfrm>
          <a:off x="3300761" y="57151"/>
          <a:ext cx="975385" cy="494023"/>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95250</xdr:colOff>
      <xdr:row>0</xdr:row>
      <xdr:rowOff>57151</xdr:rowOff>
    </xdr:from>
    <xdr:to>
      <xdr:col>9</xdr:col>
      <xdr:colOff>252413</xdr:colOff>
      <xdr:row>6</xdr:row>
      <xdr:rowOff>128588</xdr:rowOff>
    </xdr:to>
    <xdr:sp macro="" textlink="">
      <xdr:nvSpPr>
        <xdr:cNvPr id="6" name="Rectangle: Rounded Corners 5">
          <a:extLst>
            <a:ext uri="{FF2B5EF4-FFF2-40B4-BE49-F238E27FC236}">
              <a16:creationId xmlns:a16="http://schemas.microsoft.com/office/drawing/2014/main" id="{9EAA1CB1-84B7-6B16-8064-CCF6D0A3FF37}"/>
            </a:ext>
          </a:extLst>
        </xdr:cNvPr>
        <xdr:cNvSpPr/>
      </xdr:nvSpPr>
      <xdr:spPr>
        <a:xfrm>
          <a:off x="4348163" y="57151"/>
          <a:ext cx="1376363" cy="1157287"/>
        </a:xfrm>
        <a:prstGeom prst="roundRect">
          <a:avLst>
            <a:gd name="adj" fmla="val 11361"/>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338137</xdr:colOff>
      <xdr:row>0</xdr:row>
      <xdr:rowOff>57151</xdr:rowOff>
    </xdr:from>
    <xdr:to>
      <xdr:col>11</xdr:col>
      <xdr:colOff>495300</xdr:colOff>
      <xdr:row>6</xdr:row>
      <xdr:rowOff>138113</xdr:rowOff>
    </xdr:to>
    <xdr:sp macro="" textlink="">
      <xdr:nvSpPr>
        <xdr:cNvPr id="7" name="Rectangle: Rounded Corners 6">
          <a:extLst>
            <a:ext uri="{FF2B5EF4-FFF2-40B4-BE49-F238E27FC236}">
              <a16:creationId xmlns:a16="http://schemas.microsoft.com/office/drawing/2014/main" id="{D4CDDFCA-E1F6-AEBE-3832-F6990A44118B}"/>
            </a:ext>
          </a:extLst>
        </xdr:cNvPr>
        <xdr:cNvSpPr/>
      </xdr:nvSpPr>
      <xdr:spPr>
        <a:xfrm>
          <a:off x="5824537" y="57151"/>
          <a:ext cx="1376363" cy="1166812"/>
        </a:xfrm>
        <a:prstGeom prst="roundRect">
          <a:avLst>
            <a:gd name="adj" fmla="val 11361"/>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42863</xdr:colOff>
      <xdr:row>3</xdr:row>
      <xdr:rowOff>78377</xdr:rowOff>
    </xdr:from>
    <xdr:to>
      <xdr:col>1</xdr:col>
      <xdr:colOff>130629</xdr:colOff>
      <xdr:row>15</xdr:row>
      <xdr:rowOff>128724</xdr:rowOff>
    </xdr:to>
    <xdr:sp macro="" textlink="">
      <xdr:nvSpPr>
        <xdr:cNvPr id="8" name="Rectangle: Rounded Corners 7">
          <a:extLst>
            <a:ext uri="{FF2B5EF4-FFF2-40B4-BE49-F238E27FC236}">
              <a16:creationId xmlns:a16="http://schemas.microsoft.com/office/drawing/2014/main" id="{06A0269F-616F-1840-63B9-CD358581759A}"/>
            </a:ext>
          </a:extLst>
        </xdr:cNvPr>
        <xdr:cNvSpPr/>
      </xdr:nvSpPr>
      <xdr:spPr>
        <a:xfrm>
          <a:off x="42863" y="627017"/>
          <a:ext cx="697366" cy="2244907"/>
        </a:xfrm>
        <a:prstGeom prst="roundRect">
          <a:avLst>
            <a:gd name="adj" fmla="val 6445"/>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323849</xdr:colOff>
      <xdr:row>0</xdr:row>
      <xdr:rowOff>57150</xdr:rowOff>
    </xdr:from>
    <xdr:to>
      <xdr:col>11</xdr:col>
      <xdr:colOff>481012</xdr:colOff>
      <xdr:row>6</xdr:row>
      <xdr:rowOff>138113</xdr:rowOff>
    </xdr:to>
    <xdr:sp macro="" textlink="">
      <xdr:nvSpPr>
        <xdr:cNvPr id="9" name="Rectangle: Rounded Corners 8">
          <a:extLst>
            <a:ext uri="{FF2B5EF4-FFF2-40B4-BE49-F238E27FC236}">
              <a16:creationId xmlns:a16="http://schemas.microsoft.com/office/drawing/2014/main" id="{A9B5F412-4974-A903-80D2-735C9EBDB4C1}"/>
            </a:ext>
          </a:extLst>
        </xdr:cNvPr>
        <xdr:cNvSpPr/>
      </xdr:nvSpPr>
      <xdr:spPr>
        <a:xfrm>
          <a:off x="5795962" y="57150"/>
          <a:ext cx="1376363" cy="1166813"/>
        </a:xfrm>
        <a:prstGeom prst="roundRect">
          <a:avLst>
            <a:gd name="adj" fmla="val 11361"/>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186280</xdr:colOff>
      <xdr:row>3</xdr:row>
      <xdr:rowOff>54022</xdr:rowOff>
    </xdr:from>
    <xdr:to>
      <xdr:col>3</xdr:col>
      <xdr:colOff>74204</xdr:colOff>
      <xdr:row>7</xdr:row>
      <xdr:rowOff>17417</xdr:rowOff>
    </xdr:to>
    <xdr:sp macro="" textlink="">
      <xdr:nvSpPr>
        <xdr:cNvPr id="17" name="Rectangle: Rounded Corners 16">
          <a:extLst>
            <a:ext uri="{FF2B5EF4-FFF2-40B4-BE49-F238E27FC236}">
              <a16:creationId xmlns:a16="http://schemas.microsoft.com/office/drawing/2014/main" id="{2F78CEF6-2159-FCFC-C300-9D1613FD99B6}"/>
            </a:ext>
          </a:extLst>
        </xdr:cNvPr>
        <xdr:cNvSpPr/>
      </xdr:nvSpPr>
      <xdr:spPr>
        <a:xfrm>
          <a:off x="795880" y="602662"/>
          <a:ext cx="1107124" cy="694915"/>
        </a:xfrm>
        <a:prstGeom prst="roundRect">
          <a:avLst>
            <a:gd name="adj" fmla="val 6445"/>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154554</xdr:colOff>
      <xdr:row>3</xdr:row>
      <xdr:rowOff>71439</xdr:rowOff>
    </xdr:from>
    <xdr:to>
      <xdr:col>5</xdr:col>
      <xdr:colOff>42478</xdr:colOff>
      <xdr:row>7</xdr:row>
      <xdr:rowOff>30480</xdr:rowOff>
    </xdr:to>
    <xdr:sp macro="" textlink="">
      <xdr:nvSpPr>
        <xdr:cNvPr id="35" name="Rectangle: Rounded Corners 34">
          <a:extLst>
            <a:ext uri="{FF2B5EF4-FFF2-40B4-BE49-F238E27FC236}">
              <a16:creationId xmlns:a16="http://schemas.microsoft.com/office/drawing/2014/main" id="{49C06D4A-B70C-F246-226D-7F4CBA748BC2}"/>
            </a:ext>
          </a:extLst>
        </xdr:cNvPr>
        <xdr:cNvSpPr/>
      </xdr:nvSpPr>
      <xdr:spPr>
        <a:xfrm>
          <a:off x="1983354" y="620079"/>
          <a:ext cx="1107124" cy="690561"/>
        </a:xfrm>
        <a:prstGeom prst="roundRect">
          <a:avLst>
            <a:gd name="adj" fmla="val 6445"/>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109763</xdr:colOff>
      <xdr:row>3</xdr:row>
      <xdr:rowOff>67085</xdr:rowOff>
    </xdr:from>
    <xdr:to>
      <xdr:col>7</xdr:col>
      <xdr:colOff>390</xdr:colOff>
      <xdr:row>7</xdr:row>
      <xdr:rowOff>17417</xdr:rowOff>
    </xdr:to>
    <xdr:sp macro="" textlink="">
      <xdr:nvSpPr>
        <xdr:cNvPr id="36" name="Rectangle: Rounded Corners 35">
          <a:extLst>
            <a:ext uri="{FF2B5EF4-FFF2-40B4-BE49-F238E27FC236}">
              <a16:creationId xmlns:a16="http://schemas.microsoft.com/office/drawing/2014/main" id="{062BC2A9-6843-8F65-4301-FA48128C287D}"/>
            </a:ext>
          </a:extLst>
        </xdr:cNvPr>
        <xdr:cNvSpPr/>
      </xdr:nvSpPr>
      <xdr:spPr>
        <a:xfrm>
          <a:off x="3157763" y="615725"/>
          <a:ext cx="1094061" cy="681852"/>
        </a:xfrm>
        <a:prstGeom prst="roundRect">
          <a:avLst>
            <a:gd name="adj" fmla="val 6445"/>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187234</xdr:colOff>
      <xdr:row>9</xdr:row>
      <xdr:rowOff>162878</xdr:rowOff>
    </xdr:from>
    <xdr:to>
      <xdr:col>7</xdr:col>
      <xdr:colOff>16042</xdr:colOff>
      <xdr:row>15</xdr:row>
      <xdr:rowOff>120016</xdr:rowOff>
    </xdr:to>
    <xdr:sp macro="" textlink="">
      <xdr:nvSpPr>
        <xdr:cNvPr id="37" name="Rectangle: Rounded Corners 36">
          <a:extLst>
            <a:ext uri="{FF2B5EF4-FFF2-40B4-BE49-F238E27FC236}">
              <a16:creationId xmlns:a16="http://schemas.microsoft.com/office/drawing/2014/main" id="{AAA67B2B-E094-5C55-C75D-4A8CE9A69A18}"/>
            </a:ext>
          </a:extLst>
        </xdr:cNvPr>
        <xdr:cNvSpPr/>
      </xdr:nvSpPr>
      <xdr:spPr>
        <a:xfrm>
          <a:off x="796834" y="1823236"/>
          <a:ext cx="3470366" cy="1064043"/>
        </a:xfrm>
        <a:prstGeom prst="roundRect">
          <a:avLst>
            <a:gd name="adj" fmla="val 6445"/>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95250</xdr:colOff>
      <xdr:row>7</xdr:row>
      <xdr:rowOff>0</xdr:rowOff>
    </xdr:from>
    <xdr:to>
      <xdr:col>11</xdr:col>
      <xdr:colOff>481013</xdr:colOff>
      <xdr:row>15</xdr:row>
      <xdr:rowOff>126819</xdr:rowOff>
    </xdr:to>
    <xdr:sp macro="" textlink="">
      <xdr:nvSpPr>
        <xdr:cNvPr id="48" name="Rectangle: Rounded Corners 47">
          <a:extLst>
            <a:ext uri="{FF2B5EF4-FFF2-40B4-BE49-F238E27FC236}">
              <a16:creationId xmlns:a16="http://schemas.microsoft.com/office/drawing/2014/main" id="{A49B80E6-7C40-F967-B769-9B1B1B9BA2A2}"/>
            </a:ext>
          </a:extLst>
        </xdr:cNvPr>
        <xdr:cNvSpPr/>
      </xdr:nvSpPr>
      <xdr:spPr>
        <a:xfrm>
          <a:off x="4346684" y="1287517"/>
          <a:ext cx="2824163" cy="1598268"/>
        </a:xfrm>
        <a:prstGeom prst="roundRect">
          <a:avLst>
            <a:gd name="adj" fmla="val 11361"/>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113211</xdr:colOff>
      <xdr:row>0</xdr:row>
      <xdr:rowOff>100014</xdr:rowOff>
    </xdr:from>
    <xdr:to>
      <xdr:col>5</xdr:col>
      <xdr:colOff>223839</xdr:colOff>
      <xdr:row>1</xdr:row>
      <xdr:rowOff>114301</xdr:rowOff>
    </xdr:to>
    <xdr:sp macro="" textlink="">
      <xdr:nvSpPr>
        <xdr:cNvPr id="49" name="TextBox 48">
          <a:extLst>
            <a:ext uri="{FF2B5EF4-FFF2-40B4-BE49-F238E27FC236}">
              <a16:creationId xmlns:a16="http://schemas.microsoft.com/office/drawing/2014/main" id="{6AAC2498-05D5-C5D2-CABF-02A1AF34A332}"/>
            </a:ext>
          </a:extLst>
        </xdr:cNvPr>
        <xdr:cNvSpPr txBox="1"/>
      </xdr:nvSpPr>
      <xdr:spPr>
        <a:xfrm>
          <a:off x="722811" y="100014"/>
          <a:ext cx="2549028" cy="197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300"/>
            <a:t>Hospital Emergency</a:t>
          </a:r>
          <a:r>
            <a:rPr lang="en-IN" sz="1300" baseline="0"/>
            <a:t> Room Dashboard</a:t>
          </a:r>
          <a:endParaRPr lang="en-IN" sz="1300"/>
        </a:p>
      </xdr:txBody>
    </xdr:sp>
    <xdr:clientData/>
  </xdr:twoCellAnchor>
  <xdr:twoCellAnchor editAs="oneCell">
    <xdr:from>
      <xdr:col>0</xdr:col>
      <xdr:colOff>74022</xdr:colOff>
      <xdr:row>0</xdr:row>
      <xdr:rowOff>34834</xdr:rowOff>
    </xdr:from>
    <xdr:to>
      <xdr:col>1</xdr:col>
      <xdr:colOff>126274</xdr:colOff>
      <xdr:row>3</xdr:row>
      <xdr:rowOff>34834</xdr:rowOff>
    </xdr:to>
    <xdr:pic>
      <xdr:nvPicPr>
        <xdr:cNvPr id="51" name="Picture 50">
          <a:extLst>
            <a:ext uri="{FF2B5EF4-FFF2-40B4-BE49-F238E27FC236}">
              <a16:creationId xmlns:a16="http://schemas.microsoft.com/office/drawing/2014/main" id="{58166710-1031-6CF9-5B34-82E2392F8D5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7881" r="17881"/>
        <a:stretch>
          <a:fillRect/>
        </a:stretch>
      </xdr:blipFill>
      <xdr:spPr>
        <a:xfrm>
          <a:off x="74022" y="34834"/>
          <a:ext cx="661852" cy="548640"/>
        </a:xfrm>
        <a:prstGeom prst="rect">
          <a:avLst/>
        </a:prstGeom>
      </xdr:spPr>
    </xdr:pic>
    <xdr:clientData/>
  </xdr:twoCellAnchor>
  <xdr:twoCellAnchor editAs="absolute">
    <xdr:from>
      <xdr:col>2</xdr:col>
      <xdr:colOff>213360</xdr:colOff>
      <xdr:row>1</xdr:row>
      <xdr:rowOff>113076</xdr:rowOff>
    </xdr:from>
    <xdr:to>
      <xdr:col>3</xdr:col>
      <xdr:colOff>557349</xdr:colOff>
      <xdr:row>2</xdr:row>
      <xdr:rowOff>127363</xdr:rowOff>
    </xdr:to>
    <xdr:sp macro="" textlink="">
      <xdr:nvSpPr>
        <xdr:cNvPr id="106" name="TextBox 105">
          <a:extLst>
            <a:ext uri="{FF2B5EF4-FFF2-40B4-BE49-F238E27FC236}">
              <a16:creationId xmlns:a16="http://schemas.microsoft.com/office/drawing/2014/main" id="{94847EFB-26A4-0009-CBFE-DD09DE77982C}"/>
            </a:ext>
          </a:extLst>
        </xdr:cNvPr>
        <xdr:cNvSpPr txBox="1"/>
      </xdr:nvSpPr>
      <xdr:spPr>
        <a:xfrm>
          <a:off x="1432560" y="295956"/>
          <a:ext cx="953589" cy="197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Monthly Report</a:t>
          </a:r>
        </a:p>
      </xdr:txBody>
    </xdr:sp>
    <xdr:clientData/>
  </xdr:twoCellAnchor>
  <xdr:twoCellAnchor editAs="absolute">
    <xdr:from>
      <xdr:col>1</xdr:col>
      <xdr:colOff>248194</xdr:colOff>
      <xdr:row>4</xdr:row>
      <xdr:rowOff>108722</xdr:rowOff>
    </xdr:from>
    <xdr:to>
      <xdr:col>3</xdr:col>
      <xdr:colOff>108857</xdr:colOff>
      <xdr:row>5</xdr:row>
      <xdr:rowOff>123009</xdr:rowOff>
    </xdr:to>
    <xdr:sp macro="" textlink="">
      <xdr:nvSpPr>
        <xdr:cNvPr id="107" name="TextBox 106">
          <a:extLst>
            <a:ext uri="{FF2B5EF4-FFF2-40B4-BE49-F238E27FC236}">
              <a16:creationId xmlns:a16="http://schemas.microsoft.com/office/drawing/2014/main" id="{153EDC1B-3D67-B574-F8F9-4D208A1A9204}"/>
            </a:ext>
          </a:extLst>
        </xdr:cNvPr>
        <xdr:cNvSpPr txBox="1"/>
      </xdr:nvSpPr>
      <xdr:spPr>
        <a:xfrm>
          <a:off x="857794" y="840242"/>
          <a:ext cx="1079863" cy="197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No.</a:t>
          </a:r>
          <a:r>
            <a:rPr lang="en-IN" sz="900" baseline="0"/>
            <a:t> Of </a:t>
          </a:r>
          <a:r>
            <a:rPr lang="en-IN" sz="800" baseline="0"/>
            <a:t>Patien</a:t>
          </a:r>
          <a:r>
            <a:rPr lang="en-IN" sz="800"/>
            <a:t>t</a:t>
          </a:r>
          <a:endParaRPr lang="en-IN" sz="900"/>
        </a:p>
      </xdr:txBody>
    </xdr:sp>
    <xdr:clientData/>
  </xdr:twoCellAnchor>
  <xdr:twoCellAnchor editAs="absolute">
    <xdr:from>
      <xdr:col>1</xdr:col>
      <xdr:colOff>248194</xdr:colOff>
      <xdr:row>3</xdr:row>
      <xdr:rowOff>134848</xdr:rowOff>
    </xdr:from>
    <xdr:to>
      <xdr:col>3</xdr:col>
      <xdr:colOff>108857</xdr:colOff>
      <xdr:row>4</xdr:row>
      <xdr:rowOff>149135</xdr:rowOff>
    </xdr:to>
    <xdr:sp macro="" textlink="'Pivot Report'!A5">
      <xdr:nvSpPr>
        <xdr:cNvPr id="130" name="TextBox 129">
          <a:extLst>
            <a:ext uri="{FF2B5EF4-FFF2-40B4-BE49-F238E27FC236}">
              <a16:creationId xmlns:a16="http://schemas.microsoft.com/office/drawing/2014/main" id="{D497CB0E-7CFA-1095-49DC-C91F1F18E262}"/>
            </a:ext>
          </a:extLst>
        </xdr:cNvPr>
        <xdr:cNvSpPr txBox="1"/>
      </xdr:nvSpPr>
      <xdr:spPr>
        <a:xfrm>
          <a:off x="857794" y="683488"/>
          <a:ext cx="1079863" cy="197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8616FD8B-E3C1-43BC-B415-84E55A29E7AB}" type="TxLink">
            <a:rPr lang="en-US" sz="1100" b="0" i="0" u="none" strike="noStrike">
              <a:solidFill>
                <a:srgbClr val="000000"/>
              </a:solidFill>
              <a:latin typeface="Calibri"/>
              <a:ea typeface="Calibri"/>
              <a:cs typeface="Calibri"/>
            </a:rPr>
            <a:pPr algn="ctr"/>
            <a:t>471</a:t>
          </a:fld>
          <a:endParaRPr lang="en-IN" sz="1200"/>
        </a:p>
      </xdr:txBody>
    </xdr:sp>
    <xdr:clientData/>
  </xdr:twoCellAnchor>
  <xdr:twoCellAnchor editAs="absolute">
    <xdr:from>
      <xdr:col>3</xdr:col>
      <xdr:colOff>195943</xdr:colOff>
      <xdr:row>4</xdr:row>
      <xdr:rowOff>108722</xdr:rowOff>
    </xdr:from>
    <xdr:to>
      <xdr:col>5</xdr:col>
      <xdr:colOff>56606</xdr:colOff>
      <xdr:row>5</xdr:row>
      <xdr:rowOff>123009</xdr:rowOff>
    </xdr:to>
    <xdr:sp macro="" textlink="">
      <xdr:nvSpPr>
        <xdr:cNvPr id="140" name="TextBox 139">
          <a:extLst>
            <a:ext uri="{FF2B5EF4-FFF2-40B4-BE49-F238E27FC236}">
              <a16:creationId xmlns:a16="http://schemas.microsoft.com/office/drawing/2014/main" id="{B6ED0B72-9C8E-78EF-0FDC-C86D672C22B5}"/>
            </a:ext>
          </a:extLst>
        </xdr:cNvPr>
        <xdr:cNvSpPr txBox="1"/>
      </xdr:nvSpPr>
      <xdr:spPr>
        <a:xfrm>
          <a:off x="2024743" y="840242"/>
          <a:ext cx="1079863" cy="197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aseline="0"/>
            <a:t>Average </a:t>
          </a:r>
          <a:r>
            <a:rPr lang="en-IN" sz="800" baseline="0"/>
            <a:t>Wait</a:t>
          </a:r>
          <a:r>
            <a:rPr lang="en-IN" sz="900" baseline="0"/>
            <a:t> Time</a:t>
          </a:r>
          <a:endParaRPr lang="en-IN" sz="900"/>
        </a:p>
      </xdr:txBody>
    </xdr:sp>
    <xdr:clientData/>
  </xdr:twoCellAnchor>
  <xdr:twoCellAnchor editAs="absolute">
    <xdr:from>
      <xdr:col>3</xdr:col>
      <xdr:colOff>195943</xdr:colOff>
      <xdr:row>3</xdr:row>
      <xdr:rowOff>134848</xdr:rowOff>
    </xdr:from>
    <xdr:to>
      <xdr:col>5</xdr:col>
      <xdr:colOff>56606</xdr:colOff>
      <xdr:row>4</xdr:row>
      <xdr:rowOff>149135</xdr:rowOff>
    </xdr:to>
    <xdr:sp macro="" textlink="'Pivot Report'!A9">
      <xdr:nvSpPr>
        <xdr:cNvPr id="141" name="TextBox 140">
          <a:extLst>
            <a:ext uri="{FF2B5EF4-FFF2-40B4-BE49-F238E27FC236}">
              <a16:creationId xmlns:a16="http://schemas.microsoft.com/office/drawing/2014/main" id="{EA8C5FE4-9AE5-0220-2DCD-90D3193732B0}"/>
            </a:ext>
          </a:extLst>
        </xdr:cNvPr>
        <xdr:cNvSpPr txBox="1"/>
      </xdr:nvSpPr>
      <xdr:spPr>
        <a:xfrm>
          <a:off x="2024743" y="683488"/>
          <a:ext cx="1079863" cy="197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8281E0EF-8B49-46AC-83A1-8EB9C5D4BD35}" type="TxLink">
            <a:rPr lang="en-US" sz="1100" b="0" i="0" u="none" strike="noStrike">
              <a:solidFill>
                <a:srgbClr val="000000"/>
              </a:solidFill>
              <a:latin typeface="Calibri"/>
              <a:ea typeface="Calibri"/>
              <a:cs typeface="Calibri"/>
            </a:rPr>
            <a:pPr algn="ctr"/>
            <a:t>34.05</a:t>
          </a:fld>
          <a:endParaRPr lang="en-IN" sz="1200"/>
        </a:p>
      </xdr:txBody>
    </xdr:sp>
    <xdr:clientData/>
  </xdr:twoCellAnchor>
  <xdr:twoCellAnchor editAs="absolute">
    <xdr:from>
      <xdr:col>5</xdr:col>
      <xdr:colOff>143692</xdr:colOff>
      <xdr:row>4</xdr:row>
      <xdr:rowOff>108722</xdr:rowOff>
    </xdr:from>
    <xdr:to>
      <xdr:col>7</xdr:col>
      <xdr:colOff>17418</xdr:colOff>
      <xdr:row>5</xdr:row>
      <xdr:rowOff>123009</xdr:rowOff>
    </xdr:to>
    <xdr:sp macro="" textlink="">
      <xdr:nvSpPr>
        <xdr:cNvPr id="142" name="TextBox 141">
          <a:extLst>
            <a:ext uri="{FF2B5EF4-FFF2-40B4-BE49-F238E27FC236}">
              <a16:creationId xmlns:a16="http://schemas.microsoft.com/office/drawing/2014/main" id="{78B7CABB-72E7-635D-6153-173EC7A4A85D}"/>
            </a:ext>
          </a:extLst>
        </xdr:cNvPr>
        <xdr:cNvSpPr txBox="1"/>
      </xdr:nvSpPr>
      <xdr:spPr>
        <a:xfrm>
          <a:off x="3191692" y="840242"/>
          <a:ext cx="1079863" cy="197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Satisfaction</a:t>
          </a:r>
          <a:r>
            <a:rPr lang="en-IN" sz="900" baseline="0"/>
            <a:t> Score</a:t>
          </a:r>
          <a:endParaRPr lang="en-IN" sz="900"/>
        </a:p>
      </xdr:txBody>
    </xdr:sp>
    <xdr:clientData/>
  </xdr:twoCellAnchor>
  <xdr:twoCellAnchor editAs="absolute">
    <xdr:from>
      <xdr:col>5</xdr:col>
      <xdr:colOff>143692</xdr:colOff>
      <xdr:row>3</xdr:row>
      <xdr:rowOff>134848</xdr:rowOff>
    </xdr:from>
    <xdr:to>
      <xdr:col>7</xdr:col>
      <xdr:colOff>17418</xdr:colOff>
      <xdr:row>4</xdr:row>
      <xdr:rowOff>149135</xdr:rowOff>
    </xdr:to>
    <xdr:sp macro="" textlink="'Pivot Report'!A13">
      <xdr:nvSpPr>
        <xdr:cNvPr id="143" name="TextBox 142">
          <a:extLst>
            <a:ext uri="{FF2B5EF4-FFF2-40B4-BE49-F238E27FC236}">
              <a16:creationId xmlns:a16="http://schemas.microsoft.com/office/drawing/2014/main" id="{4716ED9E-5F73-4954-C9D1-36389F0BA7AD}"/>
            </a:ext>
          </a:extLst>
        </xdr:cNvPr>
        <xdr:cNvSpPr txBox="1"/>
      </xdr:nvSpPr>
      <xdr:spPr>
        <a:xfrm>
          <a:off x="3191692" y="683488"/>
          <a:ext cx="1079863" cy="197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D72F5ABF-9380-4354-A602-8D8D4BA36663}" type="TxLink">
            <a:rPr lang="en-US" sz="1100" b="0" i="0" u="none" strike="noStrike">
              <a:solidFill>
                <a:srgbClr val="000000"/>
              </a:solidFill>
              <a:latin typeface="Calibri"/>
              <a:ea typeface="Calibri"/>
              <a:cs typeface="Calibri"/>
            </a:rPr>
            <a:pPr algn="ctr"/>
            <a:t>5.31</a:t>
          </a:fld>
          <a:endParaRPr lang="en-IN" sz="1200"/>
        </a:p>
      </xdr:txBody>
    </xdr:sp>
    <xdr:clientData/>
  </xdr:twoCellAnchor>
  <xdr:twoCellAnchor editAs="oneCell">
    <xdr:from>
      <xdr:col>2</xdr:col>
      <xdr:colOff>509450</xdr:colOff>
      <xdr:row>3</xdr:row>
      <xdr:rowOff>78375</xdr:rowOff>
    </xdr:from>
    <xdr:to>
      <xdr:col>3</xdr:col>
      <xdr:colOff>82731</xdr:colOff>
      <xdr:row>4</xdr:row>
      <xdr:rowOff>78376</xdr:rowOff>
    </xdr:to>
    <xdr:pic>
      <xdr:nvPicPr>
        <xdr:cNvPr id="145" name="Graphic 144" descr="Male profile with solid fill">
          <a:extLst>
            <a:ext uri="{FF2B5EF4-FFF2-40B4-BE49-F238E27FC236}">
              <a16:creationId xmlns:a16="http://schemas.microsoft.com/office/drawing/2014/main" id="{26AA1D0C-9539-5B7E-9DC4-3235DD2CC62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28650" y="627015"/>
          <a:ext cx="182881" cy="182881"/>
        </a:xfrm>
        <a:prstGeom prst="rect">
          <a:avLst/>
        </a:prstGeom>
      </xdr:spPr>
    </xdr:pic>
    <xdr:clientData/>
  </xdr:twoCellAnchor>
  <xdr:twoCellAnchor editAs="oneCell">
    <xdr:from>
      <xdr:col>4</xdr:col>
      <xdr:colOff>457200</xdr:colOff>
      <xdr:row>3</xdr:row>
      <xdr:rowOff>95795</xdr:rowOff>
    </xdr:from>
    <xdr:to>
      <xdr:col>5</xdr:col>
      <xdr:colOff>34834</xdr:colOff>
      <xdr:row>4</xdr:row>
      <xdr:rowOff>100149</xdr:rowOff>
    </xdr:to>
    <xdr:pic>
      <xdr:nvPicPr>
        <xdr:cNvPr id="147" name="Graphic 146" descr="Customer review with solid fill">
          <a:extLst>
            <a:ext uri="{FF2B5EF4-FFF2-40B4-BE49-F238E27FC236}">
              <a16:creationId xmlns:a16="http://schemas.microsoft.com/office/drawing/2014/main" id="{7062621A-176E-2765-EEA0-8C39B1DE401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895600" y="644435"/>
          <a:ext cx="187234" cy="187234"/>
        </a:xfrm>
        <a:prstGeom prst="rect">
          <a:avLst/>
        </a:prstGeom>
      </xdr:spPr>
    </xdr:pic>
    <xdr:clientData/>
  </xdr:twoCellAnchor>
  <xdr:twoCellAnchor editAs="oneCell">
    <xdr:from>
      <xdr:col>6</xdr:col>
      <xdr:colOff>400597</xdr:colOff>
      <xdr:row>3</xdr:row>
      <xdr:rowOff>82734</xdr:rowOff>
    </xdr:from>
    <xdr:to>
      <xdr:col>6</xdr:col>
      <xdr:colOff>587829</xdr:colOff>
      <xdr:row>4</xdr:row>
      <xdr:rowOff>87086</xdr:rowOff>
    </xdr:to>
    <xdr:pic>
      <xdr:nvPicPr>
        <xdr:cNvPr id="149" name="Graphic 148" descr="Hourglass Finished with solid fill">
          <a:extLst>
            <a:ext uri="{FF2B5EF4-FFF2-40B4-BE49-F238E27FC236}">
              <a16:creationId xmlns:a16="http://schemas.microsoft.com/office/drawing/2014/main" id="{92DC7FF3-7778-D00D-F368-1D082EEF2BA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058197" y="631374"/>
          <a:ext cx="187232" cy="187232"/>
        </a:xfrm>
        <a:prstGeom prst="rect">
          <a:avLst/>
        </a:prstGeom>
      </xdr:spPr>
    </xdr:pic>
    <xdr:clientData/>
  </xdr:twoCellAnchor>
  <xdr:twoCellAnchor editAs="oneCell">
    <xdr:from>
      <xdr:col>0</xdr:col>
      <xdr:colOff>56605</xdr:colOff>
      <xdr:row>3</xdr:row>
      <xdr:rowOff>87086</xdr:rowOff>
    </xdr:from>
    <xdr:to>
      <xdr:col>1</xdr:col>
      <xdr:colOff>113211</xdr:colOff>
      <xdr:row>15</xdr:row>
      <xdr:rowOff>126274</xdr:rowOff>
    </xdr:to>
    <mc:AlternateContent xmlns:mc="http://schemas.openxmlformats.org/markup-compatibility/2006" xmlns:a14="http://schemas.microsoft.com/office/drawing/2010/main">
      <mc:Choice Requires="a14">
        <xdr:graphicFrame macro="">
          <xdr:nvGraphicFramePr>
            <xdr:cNvPr id="150" name="Date (Month) 1">
              <a:extLst>
                <a:ext uri="{FF2B5EF4-FFF2-40B4-BE49-F238E27FC236}">
                  <a16:creationId xmlns:a16="http://schemas.microsoft.com/office/drawing/2014/main" id="{50AEE9D0-426D-4C31-AE1D-270EBF12520C}"/>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56605" y="638879"/>
              <a:ext cx="666206" cy="22463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80963</xdr:colOff>
      <xdr:row>5</xdr:row>
      <xdr:rowOff>19049</xdr:rowOff>
    </xdr:from>
    <xdr:to>
      <xdr:col>3</xdr:col>
      <xdr:colOff>80963</xdr:colOff>
      <xdr:row>8</xdr:row>
      <xdr:rowOff>19050</xdr:rowOff>
    </xdr:to>
    <xdr:graphicFrame macro="">
      <xdr:nvGraphicFramePr>
        <xdr:cNvPr id="151" name="Chart 150">
          <a:hlinkClick xmlns:r="http://schemas.openxmlformats.org/officeDocument/2006/relationships" r:id="rId8"/>
          <a:extLst>
            <a:ext uri="{FF2B5EF4-FFF2-40B4-BE49-F238E27FC236}">
              <a16:creationId xmlns:a16="http://schemas.microsoft.com/office/drawing/2014/main" id="{2961AE1E-5D78-44B4-A34E-697A2E2BB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171450</xdr:colOff>
      <xdr:row>4</xdr:row>
      <xdr:rowOff>152401</xdr:rowOff>
    </xdr:from>
    <xdr:to>
      <xdr:col>5</xdr:col>
      <xdr:colOff>23814</xdr:colOff>
      <xdr:row>7</xdr:row>
      <xdr:rowOff>9525</xdr:rowOff>
    </xdr:to>
    <xdr:graphicFrame macro="">
      <xdr:nvGraphicFramePr>
        <xdr:cNvPr id="152" name="Chart 151">
          <a:hlinkClick xmlns:r="http://schemas.openxmlformats.org/officeDocument/2006/relationships" r:id="rId10"/>
          <a:extLst>
            <a:ext uri="{FF2B5EF4-FFF2-40B4-BE49-F238E27FC236}">
              <a16:creationId xmlns:a16="http://schemas.microsoft.com/office/drawing/2014/main" id="{346705D4-63DE-4CE7-B07E-ADE757A4B5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120868</xdr:colOff>
      <xdr:row>5</xdr:row>
      <xdr:rowOff>152401</xdr:rowOff>
    </xdr:from>
    <xdr:to>
      <xdr:col>6</xdr:col>
      <xdr:colOff>578069</xdr:colOff>
      <xdr:row>7</xdr:row>
      <xdr:rowOff>78828</xdr:rowOff>
    </xdr:to>
    <xdr:graphicFrame macro="">
      <xdr:nvGraphicFramePr>
        <xdr:cNvPr id="156" name="Chart 155">
          <a:hlinkClick xmlns:r="http://schemas.openxmlformats.org/officeDocument/2006/relationships" r:id="rId12"/>
          <a:extLst>
            <a:ext uri="{FF2B5EF4-FFF2-40B4-BE49-F238E27FC236}">
              <a16:creationId xmlns:a16="http://schemas.microsoft.com/office/drawing/2014/main" id="{B9AF3DCE-39BD-4E56-B5C0-C0DFBDDA5C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192505</xdr:colOff>
          <xdr:row>7</xdr:row>
          <xdr:rowOff>88231</xdr:rowOff>
        </xdr:from>
        <xdr:to>
          <xdr:col>7</xdr:col>
          <xdr:colOff>8020</xdr:colOff>
          <xdr:row>9</xdr:row>
          <xdr:rowOff>92241</xdr:rowOff>
        </xdr:to>
        <xdr:pic>
          <xdr:nvPicPr>
            <xdr:cNvPr id="12" name="Picture 11">
              <a:extLst>
                <a:ext uri="{FF2B5EF4-FFF2-40B4-BE49-F238E27FC236}">
                  <a16:creationId xmlns:a16="http://schemas.microsoft.com/office/drawing/2014/main" id="{887F0DFB-DFCA-2D6E-247B-23890C95D37E}"/>
                </a:ext>
              </a:extLst>
            </xdr:cNvPr>
            <xdr:cNvPicPr>
              <a:picLocks noChangeAspect="1" noChangeArrowheads="1"/>
              <a:extLst>
                <a:ext uri="{84589F7E-364E-4C9E-8A38-B11213B215E9}">
                  <a14:cameraTool cellRange="'Pivot Report'!$A$48:$D$50" spid="_x0000_s2072"/>
                </a:ext>
              </a:extLst>
            </xdr:cNvPicPr>
          </xdr:nvPicPr>
          <xdr:blipFill>
            <a:blip xmlns:r="http://schemas.openxmlformats.org/officeDocument/2006/relationships" r:embed="rId14"/>
            <a:srcRect/>
            <a:stretch>
              <a:fillRect/>
            </a:stretch>
          </xdr:blipFill>
          <xdr:spPr bwMode="auto">
            <a:xfrm>
              <a:off x="802105" y="1379620"/>
              <a:ext cx="3457073" cy="372979"/>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195263</xdr:colOff>
      <xdr:row>10</xdr:row>
      <xdr:rowOff>14288</xdr:rowOff>
    </xdr:from>
    <xdr:to>
      <xdr:col>6</xdr:col>
      <xdr:colOff>557213</xdr:colOff>
      <xdr:row>15</xdr:row>
      <xdr:rowOff>36095</xdr:rowOff>
    </xdr:to>
    <xdr:graphicFrame macro="">
      <xdr:nvGraphicFramePr>
        <xdr:cNvPr id="13" name="Chart 12">
          <a:extLst>
            <a:ext uri="{FF2B5EF4-FFF2-40B4-BE49-F238E27FC236}">
              <a16:creationId xmlns:a16="http://schemas.microsoft.com/office/drawing/2014/main" id="{AFE48013-6D69-4155-A326-46F60EDDDA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2</xdr:col>
      <xdr:colOff>585537</xdr:colOff>
      <xdr:row>14</xdr:row>
      <xdr:rowOff>164431</xdr:rowOff>
    </xdr:from>
    <xdr:to>
      <xdr:col>5</xdr:col>
      <xdr:colOff>46694</xdr:colOff>
      <xdr:row>15</xdr:row>
      <xdr:rowOff>99690</xdr:rowOff>
    </xdr:to>
    <xdr:sp macro="" textlink="">
      <xdr:nvSpPr>
        <xdr:cNvPr id="19" name="TextBox 18">
          <a:extLst>
            <a:ext uri="{FF2B5EF4-FFF2-40B4-BE49-F238E27FC236}">
              <a16:creationId xmlns:a16="http://schemas.microsoft.com/office/drawing/2014/main" id="{6CD49F0A-82A9-431E-A17F-ABAF62BE00B5}"/>
            </a:ext>
          </a:extLst>
        </xdr:cNvPr>
        <xdr:cNvSpPr txBox="1"/>
      </xdr:nvSpPr>
      <xdr:spPr>
        <a:xfrm>
          <a:off x="1804737" y="2747210"/>
          <a:ext cx="1289957" cy="119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No.</a:t>
          </a:r>
          <a:r>
            <a:rPr lang="en-IN" sz="900" baseline="0"/>
            <a:t> Of </a:t>
          </a:r>
          <a:r>
            <a:rPr lang="en-IN" sz="800" baseline="0"/>
            <a:t>Patien</a:t>
          </a:r>
          <a:r>
            <a:rPr lang="en-IN" sz="800"/>
            <a:t>t By Age Group</a:t>
          </a:r>
          <a:endParaRPr lang="en-IN" sz="900"/>
        </a:p>
      </xdr:txBody>
    </xdr:sp>
    <xdr:clientData/>
  </xdr:twoCellAnchor>
  <xdr:twoCellAnchor>
    <xdr:from>
      <xdr:col>7</xdr:col>
      <xdr:colOff>123825</xdr:colOff>
      <xdr:row>0</xdr:row>
      <xdr:rowOff>90488</xdr:rowOff>
    </xdr:from>
    <xdr:to>
      <xdr:col>9</xdr:col>
      <xdr:colOff>214312</xdr:colOff>
      <xdr:row>6</xdr:row>
      <xdr:rowOff>109538</xdr:rowOff>
    </xdr:to>
    <xdr:graphicFrame macro="">
      <xdr:nvGraphicFramePr>
        <xdr:cNvPr id="3" name="Chart 2">
          <a:extLst>
            <a:ext uri="{FF2B5EF4-FFF2-40B4-BE49-F238E27FC236}">
              <a16:creationId xmlns:a16="http://schemas.microsoft.com/office/drawing/2014/main" id="{796CB17C-FF34-477F-9003-6F9236AB16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7</xdr:col>
      <xdr:colOff>238125</xdr:colOff>
      <xdr:row>5</xdr:row>
      <xdr:rowOff>95250</xdr:rowOff>
    </xdr:from>
    <xdr:to>
      <xdr:col>9</xdr:col>
      <xdr:colOff>98788</xdr:colOff>
      <xdr:row>6</xdr:row>
      <xdr:rowOff>109537</xdr:rowOff>
    </xdr:to>
    <xdr:sp macro="" textlink="">
      <xdr:nvSpPr>
        <xdr:cNvPr id="11" name="TextBox 10">
          <a:extLst>
            <a:ext uri="{FF2B5EF4-FFF2-40B4-BE49-F238E27FC236}">
              <a16:creationId xmlns:a16="http://schemas.microsoft.com/office/drawing/2014/main" id="{7F3804D0-5196-483C-93EE-56B06BFCE0EB}"/>
            </a:ext>
          </a:extLst>
        </xdr:cNvPr>
        <xdr:cNvSpPr txBox="1"/>
      </xdr:nvSpPr>
      <xdr:spPr>
        <a:xfrm>
          <a:off x="4491038" y="1000125"/>
          <a:ext cx="1079863" cy="195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Patient Attend</a:t>
          </a:r>
          <a:r>
            <a:rPr lang="en-IN" sz="900" baseline="0"/>
            <a:t> Status</a:t>
          </a:r>
          <a:endParaRPr lang="en-IN" sz="900"/>
        </a:p>
      </xdr:txBody>
    </xdr:sp>
    <xdr:clientData/>
  </xdr:twoCellAnchor>
  <xdr:twoCellAnchor editAs="absolute">
    <xdr:from>
      <xdr:col>9</xdr:col>
      <xdr:colOff>433387</xdr:colOff>
      <xdr:row>5</xdr:row>
      <xdr:rowOff>109537</xdr:rowOff>
    </xdr:from>
    <xdr:to>
      <xdr:col>11</xdr:col>
      <xdr:colOff>294050</xdr:colOff>
      <xdr:row>6</xdr:row>
      <xdr:rowOff>123824</xdr:rowOff>
    </xdr:to>
    <xdr:sp macro="" textlink="">
      <xdr:nvSpPr>
        <xdr:cNvPr id="14" name="TextBox 13">
          <a:extLst>
            <a:ext uri="{FF2B5EF4-FFF2-40B4-BE49-F238E27FC236}">
              <a16:creationId xmlns:a16="http://schemas.microsoft.com/office/drawing/2014/main" id="{2FC13B3D-763E-4143-8F23-7EBDF7C86ABE}"/>
            </a:ext>
          </a:extLst>
        </xdr:cNvPr>
        <xdr:cNvSpPr txBox="1"/>
      </xdr:nvSpPr>
      <xdr:spPr>
        <a:xfrm>
          <a:off x="5905500" y="1014412"/>
          <a:ext cx="1079863" cy="195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No.</a:t>
          </a:r>
          <a:r>
            <a:rPr lang="en-IN" sz="900" baseline="0"/>
            <a:t> Of </a:t>
          </a:r>
          <a:r>
            <a:rPr lang="en-IN" sz="800" baseline="0"/>
            <a:t>Patien</a:t>
          </a:r>
          <a:r>
            <a:rPr lang="en-IN" sz="800"/>
            <a:t>t By Gender</a:t>
          </a:r>
          <a:endParaRPr lang="en-IN" sz="900"/>
        </a:p>
      </xdr:txBody>
    </xdr:sp>
    <xdr:clientData/>
  </xdr:twoCellAnchor>
  <xdr:twoCellAnchor editAs="absolute">
    <xdr:from>
      <xdr:col>7</xdr:col>
      <xdr:colOff>457200</xdr:colOff>
      <xdr:row>14</xdr:row>
      <xdr:rowOff>80962</xdr:rowOff>
    </xdr:from>
    <xdr:to>
      <xdr:col>10</xdr:col>
      <xdr:colOff>471487</xdr:colOff>
      <xdr:row>15</xdr:row>
      <xdr:rowOff>95249</xdr:rowOff>
    </xdr:to>
    <xdr:sp macro="" textlink="">
      <xdr:nvSpPr>
        <xdr:cNvPr id="15" name="TextBox 14">
          <a:extLst>
            <a:ext uri="{FF2B5EF4-FFF2-40B4-BE49-F238E27FC236}">
              <a16:creationId xmlns:a16="http://schemas.microsoft.com/office/drawing/2014/main" id="{978C576E-6CF0-4AD9-A589-6C9F3F18F32D}"/>
            </a:ext>
          </a:extLst>
        </xdr:cNvPr>
        <xdr:cNvSpPr txBox="1"/>
      </xdr:nvSpPr>
      <xdr:spPr>
        <a:xfrm>
          <a:off x="4710113" y="2614612"/>
          <a:ext cx="1843087" cy="195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No</a:t>
          </a:r>
          <a:r>
            <a:rPr lang="en-IN" sz="800" baseline="0"/>
            <a:t> Of patient By Department Refral</a:t>
          </a:r>
          <a:endParaRPr lang="en-IN" sz="800"/>
        </a:p>
      </xdr:txBody>
    </xdr:sp>
    <xdr:clientData/>
  </xdr:twoCellAnchor>
  <xdr:twoCellAnchor>
    <xdr:from>
      <xdr:col>9</xdr:col>
      <xdr:colOff>342900</xdr:colOff>
      <xdr:row>0</xdr:row>
      <xdr:rowOff>61914</xdr:rowOff>
    </xdr:from>
    <xdr:to>
      <xdr:col>11</xdr:col>
      <xdr:colOff>442912</xdr:colOff>
      <xdr:row>6</xdr:row>
      <xdr:rowOff>114300</xdr:rowOff>
    </xdr:to>
    <xdr:graphicFrame macro="">
      <xdr:nvGraphicFramePr>
        <xdr:cNvPr id="16" name="Chart 15">
          <a:extLst>
            <a:ext uri="{FF2B5EF4-FFF2-40B4-BE49-F238E27FC236}">
              <a16:creationId xmlns:a16="http://schemas.microsoft.com/office/drawing/2014/main" id="{6DC36A54-3863-439F-B5E1-22B01F558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142875</xdr:colOff>
      <xdr:row>7</xdr:row>
      <xdr:rowOff>42863</xdr:rowOff>
    </xdr:from>
    <xdr:to>
      <xdr:col>11</xdr:col>
      <xdr:colOff>519112</xdr:colOff>
      <xdr:row>15</xdr:row>
      <xdr:rowOff>23813</xdr:rowOff>
    </xdr:to>
    <xdr:graphicFrame macro="">
      <xdr:nvGraphicFramePr>
        <xdr:cNvPr id="18" name="Chart 17">
          <a:extLst>
            <a:ext uri="{FF2B5EF4-FFF2-40B4-BE49-F238E27FC236}">
              <a16:creationId xmlns:a16="http://schemas.microsoft.com/office/drawing/2014/main" id="{FE53E050-35AB-4DB7-9D3C-FB10D5C67E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5</xdr:col>
      <xdr:colOff>271346</xdr:colOff>
      <xdr:row>0</xdr:row>
      <xdr:rowOff>159835</xdr:rowOff>
    </xdr:from>
    <xdr:to>
      <xdr:col>6</xdr:col>
      <xdr:colOff>572429</xdr:colOff>
      <xdr:row>2</xdr:row>
      <xdr:rowOff>92928</xdr:rowOff>
    </xdr:to>
    <mc:AlternateContent xmlns:mc="http://schemas.openxmlformats.org/markup-compatibility/2006" xmlns:a14="http://schemas.microsoft.com/office/drawing/2010/main">
      <mc:Choice Requires="a14">
        <xdr:graphicFrame macro="">
          <xdr:nvGraphicFramePr>
            <xdr:cNvPr id="4" name="Date (Year) 1">
              <a:extLst>
                <a:ext uri="{FF2B5EF4-FFF2-40B4-BE49-F238E27FC236}">
                  <a16:creationId xmlns:a16="http://schemas.microsoft.com/office/drawing/2014/main" id="{5BC38A8E-3BAF-4CE8-AC32-7CA028104585}"/>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3319346" y="159835"/>
              <a:ext cx="910683" cy="3009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5255</xdr:colOff>
      <xdr:row>14</xdr:row>
      <xdr:rowOff>47296</xdr:rowOff>
    </xdr:to>
    <xdr:graphicFrame macro="">
      <xdr:nvGraphicFramePr>
        <xdr:cNvPr id="2" name="Chart 1">
          <a:extLst>
            <a:ext uri="{FF2B5EF4-FFF2-40B4-BE49-F238E27FC236}">
              <a16:creationId xmlns:a16="http://schemas.microsoft.com/office/drawing/2014/main" id="{86DD232C-020A-44F8-A2CE-A59C34D257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0.02483</cdr:x>
      <cdr:y>0.02665</cdr:y>
    </cdr:from>
    <cdr:to>
      <cdr:x>0.07596</cdr:x>
      <cdr:y>0.12725</cdr:y>
    </cdr:to>
    <cdr:pic>
      <cdr:nvPicPr>
        <cdr:cNvPr id="3" name="Graphic 2" descr="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567667FD-95F1-5EDD-D7AA-22F596CF49F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15614" y="63063"/>
          <a:ext cx="238060" cy="23806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597877</xdr:colOff>
      <xdr:row>15</xdr:row>
      <xdr:rowOff>11724</xdr:rowOff>
    </xdr:to>
    <xdr:graphicFrame macro="">
      <xdr:nvGraphicFramePr>
        <xdr:cNvPr id="2" name="Chart 1">
          <a:extLst>
            <a:ext uri="{FF2B5EF4-FFF2-40B4-BE49-F238E27FC236}">
              <a16:creationId xmlns:a16="http://schemas.microsoft.com/office/drawing/2014/main" id="{C90D1EDF-B770-45E2-997D-4E6B3DB9D9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190500</xdr:colOff>
      <xdr:row>0</xdr:row>
      <xdr:rowOff>109538</xdr:rowOff>
    </xdr:from>
    <xdr:to>
      <xdr:col>0</xdr:col>
      <xdr:colOff>428560</xdr:colOff>
      <xdr:row>1</xdr:row>
      <xdr:rowOff>166623</xdr:rowOff>
    </xdr:to>
    <xdr:pic>
      <xdr:nvPicPr>
        <xdr:cNvPr id="3" name="Graphic 1" descr="House with solid fill">
          <a:hlinkClick xmlns:r="http://schemas.openxmlformats.org/officeDocument/2006/relationships" r:id="rId2"/>
          <a:extLst>
            <a:ext uri="{FF2B5EF4-FFF2-40B4-BE49-F238E27FC236}">
              <a16:creationId xmlns:a16="http://schemas.microsoft.com/office/drawing/2014/main" id="{B91684E6-DC5B-681D-50F4-C5CA033A6AB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0500" y="109538"/>
          <a:ext cx="238060" cy="23806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5862</xdr:rowOff>
    </xdr:from>
    <xdr:to>
      <xdr:col>14</xdr:col>
      <xdr:colOff>592015</xdr:colOff>
      <xdr:row>14</xdr:row>
      <xdr:rowOff>11723</xdr:rowOff>
    </xdr:to>
    <xdr:graphicFrame macro="">
      <xdr:nvGraphicFramePr>
        <xdr:cNvPr id="4" name="Chart 3">
          <a:extLst>
            <a:ext uri="{FF2B5EF4-FFF2-40B4-BE49-F238E27FC236}">
              <a16:creationId xmlns:a16="http://schemas.microsoft.com/office/drawing/2014/main" id="{CEDCC795-6A95-423D-8EF0-EDD248D3A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193431</xdr:colOff>
      <xdr:row>0</xdr:row>
      <xdr:rowOff>99647</xdr:rowOff>
    </xdr:from>
    <xdr:to>
      <xdr:col>0</xdr:col>
      <xdr:colOff>431491</xdr:colOff>
      <xdr:row>1</xdr:row>
      <xdr:rowOff>155999</xdr:rowOff>
    </xdr:to>
    <xdr:pic>
      <xdr:nvPicPr>
        <xdr:cNvPr id="6" name="Graphic 1" descr="House with solid fill">
          <a:hlinkClick xmlns:r="http://schemas.openxmlformats.org/officeDocument/2006/relationships" r:id="rId2"/>
          <a:extLst>
            <a:ext uri="{FF2B5EF4-FFF2-40B4-BE49-F238E27FC236}">
              <a16:creationId xmlns:a16="http://schemas.microsoft.com/office/drawing/2014/main" id="{C9810F11-916B-4ACE-8096-E60BD38CA8A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3431" y="99647"/>
          <a:ext cx="238060" cy="23806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en" refreshedDate="46050.735301157409" createdVersion="5" refreshedVersion="8" minRefreshableVersion="3" recordCount="0" supportSubquery="1" supportAdvancedDrill="1" xr:uid="{652D3E6D-C959-41F4-A482-D7758D979CD0}">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1">
        <s v="1-Oct"/>
        <s v="2-Oct"/>
        <s v="3-Oct"/>
        <s v="4-Oct"/>
        <s v="5-Oct"/>
        <s v="6-Oct"/>
        <s v="7-Oct"/>
        <s v="8-Oct"/>
        <s v="9-Oct"/>
        <s v="10-Oct"/>
        <s v="11-Oct"/>
        <s v="12-Oct"/>
        <s v="13-Oct"/>
        <s v="14-Oct"/>
        <s v="15-Oct"/>
        <s v="16-Oct"/>
        <s v="17-Oct"/>
        <s v="18-Oct"/>
        <s v="19-Oct"/>
        <s v="20-Oct"/>
        <s v="21-Oct"/>
        <s v="22-Oct"/>
        <s v="23-Oct"/>
        <s v="24-Oct"/>
        <s v="25-Oct"/>
        <s v="26-Oct"/>
        <s v="27-Oct"/>
        <s v="28-Oct"/>
        <s v="29-Oct"/>
        <s v="30-Oct"/>
        <s v="8-Aug" u="1"/>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en" refreshedDate="46050.735301388886" createdVersion="5" refreshedVersion="8" minRefreshableVersion="3" recordCount="0" supportSubquery="1" supportAdvancedDrill="1" xr:uid="{920D876B-C8C2-4649-B36E-1B5C9A588881}">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en" refreshedDate="46050.735301504632" createdVersion="5" refreshedVersion="8" minRefreshableVersion="3" recordCount="0" supportSubquery="1" supportAdvancedDrill="1" xr:uid="{6B35C4B3-9AA2-480B-A254-201AC50FE50B}">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en" refreshedDate="46050.735301504632" createdVersion="5" refreshedVersion="8" minRefreshableVersion="3" recordCount="0" supportSubquery="1" supportAdvancedDrill="1" xr:uid="{48BDF28B-4270-48D2-B5C6-83C3530CF517}">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en" refreshedDate="46050.735302199071" createdVersion="5" refreshedVersion="8" minRefreshableVersion="3" recordCount="0" supportSubquery="1" supportAdvancedDrill="1" xr:uid="{C9200B11-C312-4A3C-8F8B-04341B14EAA1}">
  <cacheSource type="external" connectionId="3"/>
  <cacheFields count="4">
    <cacheField name="[Calender_table].[Date (Day)].[Date (Day)]" caption="Date (Day)" numFmtId="0" hierarchy="2" level="1">
      <sharedItems count="30">
        <s v="1-Oct"/>
        <s v="2-Oct"/>
        <s v="3-Oct"/>
        <s v="4-Oct"/>
        <s v="5-Oct"/>
        <s v="6-Oct"/>
        <s v="7-Oct"/>
        <s v="8-Oct"/>
        <s v="9-Oct"/>
        <s v="10-Oct"/>
        <s v="11-Oct"/>
        <s v="12-Oct"/>
        <s v="13-Oct"/>
        <s v="14-Oct"/>
        <s v="15-Oct"/>
        <s v="16-Oct"/>
        <s v="17-Oct"/>
        <s v="18-Oct"/>
        <s v="19-Oct"/>
        <s v="20-Oct"/>
        <s v="21-Oct"/>
        <s v="22-Oct"/>
        <s v="23-Oct"/>
        <s v="24-Oct"/>
        <s v="25-Oct"/>
        <s v="26-Oct"/>
        <s v="27-Oct"/>
        <s v="28-Oct"/>
        <s v="29-Oct"/>
        <s v="30-Oct"/>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en" refreshedDate="46050.735302777779" createdVersion="5" refreshedVersion="8" minRefreshableVersion="3" recordCount="0" supportSubquery="1" supportAdvancedDrill="1" xr:uid="{65315AA3-C47F-4C56-90FA-0328F8B04F83}">
  <cacheSource type="external" connectionId="3"/>
  <cacheFields count="4">
    <cacheField name="[Calender_table].[Date (Day)].[Date (Day)]" caption="Date (Day)" numFmtId="0" hierarchy="2" level="1">
      <sharedItems count="30">
        <s v="1-Oct"/>
        <s v="2-Oct"/>
        <s v="3-Oct"/>
        <s v="4-Oct"/>
        <s v="5-Oct"/>
        <s v="6-Oct"/>
        <s v="7-Oct"/>
        <s v="8-Oct"/>
        <s v="9-Oct"/>
        <s v="10-Oct"/>
        <s v="11-Oct"/>
        <s v="12-Oct"/>
        <s v="13-Oct"/>
        <s v="14-Oct"/>
        <s v="15-Oct"/>
        <s v="16-Oct"/>
        <s v="17-Oct"/>
        <s v="18-Oct"/>
        <s v="19-Oct"/>
        <s v="20-Oct"/>
        <s v="21-Oct"/>
        <s v="22-Oct"/>
        <s v="23-Oct"/>
        <s v="24-Oct"/>
        <s v="25-Oct"/>
        <s v="26-Oct"/>
        <s v="27-Oct"/>
        <s v="28-Oct"/>
        <s v="29-Oct"/>
        <s v="30-Oct"/>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en" refreshedDate="46050.73530335648" createdVersion="5" refreshedVersion="8" minRefreshableVersion="3" recordCount="0" supportSubquery="1" supportAdvancedDrill="1" xr:uid="{975536B2-8829-4668-8533-6F806178866E}">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en" refreshedDate="46050.735303819441" createdVersion="5" refreshedVersion="8" minRefreshableVersion="3" recordCount="0" supportSubquery="1" supportAdvancedDrill="1" xr:uid="{7AA4E806-6CC3-497B-975D-190956D3FE57}">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en" refreshedDate="46050.735304398149" createdVersion="5" refreshedVersion="8" minRefreshableVersion="3" recordCount="0" supportSubquery="1" supportAdvancedDrill="1" xr:uid="{B14F3845-C230-4BAE-BA78-902EE231DDEB}">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 Time"/>
      </sharedItems>
    </cacheField>
    <cacheField name="[Measures].[Count of Patient attend Status]" caption="Count of Patient attend Status" numFmtId="0" hierarchy="29"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en" refreshedDate="46050.73530497685" createdVersion="5" refreshedVersion="8" minRefreshableVersion="3" recordCount="0" supportSubquery="1" supportAdvancedDrill="1" xr:uid="{BE61E8A4-1221-4492-ABFF-E108816B55DB}">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en" refreshedDate="46050.735305439812" createdVersion="5" refreshedVersion="8" minRefreshableVersion="3" recordCount="0" supportSubquery="1" supportAdvancedDrill="1" xr:uid="{91391CA6-D9BD-4F59-A09D-D90039952718}">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en" refreshedDate="46050.735305787035" createdVersion="5" refreshedVersion="8" minRefreshableVersion="3" recordCount="0" supportSubquery="1" supportAdvancedDrill="1" xr:uid="{F64ED3A7-C2C7-4F31-A54C-7B1C3AAB2B9F}">
  <cacheSource type="external" connectionId="3"/>
  <cacheFields count="4">
    <cacheField name="[Calender_table].[Date (Month)].[Date (Month)]" caption="Date (Month)" numFmtId="0" hierarchy="1" level="1">
      <sharedItems count="1">
        <s v="Apr"/>
      </sharedItems>
    </cacheField>
    <cacheField name="[Calender_table].[Date].[Date]" caption="Date" numFmtId="0" level="1">
      <sharedItems containsSemiMixedTypes="0" containsNonDate="0" containsDate="1" containsString="0" minDate="2023-04-01T00:00:00" maxDate="2024-05-01T00:00:00" count="6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sharedItems>
    </cacheField>
    <cacheField name="[Calender_table].[Date (Quarter)].[Date (Quarter)]" caption="Date (Quarter)" numFmtId="0" hierarchy="4" level="1">
      <sharedItems count="1">
        <s v="Qtr2"/>
      </sharedItems>
    </cacheField>
    <cacheField name="[Calender_table].[Date (Year)].[Date (Year)]" caption="Date (Year)" numFmtId="0" hierarchy="3" level="1">
      <sharedItems count="1">
        <s v="2024"/>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en" refreshedDate="46050.725662962963" createdVersion="3" refreshedVersion="8" minRefreshableVersion="3" recordCount="0" supportSubquery="1" supportAdvancedDrill="1" xr:uid="{0311B656-272A-4F0E-99E4-3DFE0D5BE643}">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74161902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03CF93-CC02-4370-A043-DAC57C5F35EF}" name="PivotTable11" cacheId="10" applyNumberFormats="0" applyBorderFormats="0" applyFontFormats="0" applyPatternFormats="0" applyAlignmentFormats="0" applyWidthHeightFormats="1" dataCaption="Values" tag="698598f1-fd75-45ec-9dd0-4deefb7c4c50" updatedVersion="8" minRefreshableVersion="3" subtotalHiddenItems="1" itemPrintTitles="1" createdVersion="5" indent="0" outline="1" outlineData="1" multipleFieldFilters="0" chartFormat="29">
  <location ref="A82:B91"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i>
    <i>
      <x v="3"/>
    </i>
    <i>
      <x v="6"/>
    </i>
    <i>
      <x v="5"/>
    </i>
    <i>
      <x v="2"/>
    </i>
    <i>
      <x v="4"/>
    </i>
    <i t="grand">
      <x/>
    </i>
  </rowItems>
  <colItems count="1">
    <i/>
  </colItems>
  <dataFields count="1">
    <dataField name="Count of Department Referral" fld="2" subtotal="count" baseField="0" baseItem="0"/>
  </dataFields>
  <formats count="3">
    <format dxfId="2">
      <pivotArea outline="0" collapsedLevelsAreSubtotals="1" fieldPosition="0"/>
    </format>
    <format dxfId="1">
      <pivotArea grandRow="1" outline="0" collapsedLevelsAreSubtotals="1" fieldPosition="0"/>
    </format>
    <format dxfId="0">
      <pivotArea collapsedLevelsAreSubtotals="1" fieldPosition="0">
        <references count="1">
          <reference field="1" count="0"/>
        </references>
      </pivotArea>
    </format>
  </formats>
  <chartFormats count="3">
    <chartFormat chart="25"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24C183-7680-4051-B048-3C8EB275A6A0}" name="PivotTable10" cacheId="9" applyNumberFormats="0" applyBorderFormats="0" applyFontFormats="0" applyPatternFormats="0" applyAlignmentFormats="0" applyWidthHeightFormats="1" dataCaption="Values" tag="698598f1-fd75-45ec-9dd0-4deefb7c4c50" updatedVersion="8" minRefreshableVersion="3" subtotalHiddenItems="1" itemPrintTitles="1" createdVersion="5" indent="0" outline="1" outlineData="1" multipleFieldFilters="0" chartFormat="25">
  <location ref="A75:B7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3">
    <format dxfId="5">
      <pivotArea outline="0" collapsedLevelsAreSubtotals="1" fieldPosition="0"/>
    </format>
    <format dxfId="4">
      <pivotArea grandRow="1" outline="0" collapsedLevelsAreSubtotals="1" fieldPosition="0"/>
    </format>
    <format dxfId="3">
      <pivotArea collapsedLevelsAreSubtotals="1" fieldPosition="0">
        <references count="1">
          <reference field="1" count="0"/>
        </references>
      </pivotArea>
    </format>
  </formats>
  <chartFormats count="6">
    <chartFormat chart="21" format="0" series="1">
      <pivotArea type="data" outline="0" fieldPosition="0">
        <references count="1">
          <reference field="4294967294" count="1" selected="0">
            <x v="0"/>
          </reference>
        </references>
      </pivotArea>
    </chartFormat>
    <chartFormat chart="21" format="1">
      <pivotArea type="data" outline="0" fieldPosition="0">
        <references count="2">
          <reference field="4294967294" count="1" selected="0">
            <x v="0"/>
          </reference>
          <reference field="1" count="1" selected="0">
            <x v="0"/>
          </reference>
        </references>
      </pivotArea>
    </chartFormat>
    <chartFormat chart="21" format="2">
      <pivotArea type="data" outline="0" fieldPosition="0">
        <references count="2">
          <reference field="4294967294" count="1" selected="0">
            <x v="0"/>
          </reference>
          <reference field="1" count="1" selected="0">
            <x v="1"/>
          </reference>
        </references>
      </pivotArea>
    </chartFormat>
    <chartFormat chart="24" format="6" series="1">
      <pivotArea type="data" outline="0" fieldPosition="0">
        <references count="1">
          <reference field="4294967294" count="1" selected="0">
            <x v="0"/>
          </reference>
        </references>
      </pivotArea>
    </chartFormat>
    <chartFormat chart="24" format="7">
      <pivotArea type="data" outline="0" fieldPosition="0">
        <references count="2">
          <reference field="4294967294" count="1" selected="0">
            <x v="0"/>
          </reference>
          <reference field="1" count="1" selected="0">
            <x v="0"/>
          </reference>
        </references>
      </pivotArea>
    </chartFormat>
    <chartFormat chart="24" format="8">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BA883A-2520-4359-92A9-5F8B0D1C37A4}" name="PivotTable12" cacheId="11" applyNumberFormats="0" applyBorderFormats="0" applyFontFormats="0" applyPatternFormats="0" applyAlignmentFormats="0" applyWidthHeightFormats="1" dataCaption="Values" tag="de990017-1c46-4a28-b4b3-3bca11bff8de" updatedVersion="8" minRefreshableVersion="3" subtotalHiddenItems="1" itemPrintTitles="1" createdVersion="5" indent="0" outline="1" outlineData="1" multipleFieldFilters="0" chartFormat="29">
  <location ref="A93:A95"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2">
    <format dxfId="7">
      <pivotArea outline="0" collapsedLevelsAreSubtotals="1" fieldPosition="0"/>
    </format>
    <format dxfId="6">
      <pivotArea grandRow="1" outline="0" collapsedLevelsAreSubtotals="1" fieldPosition="0"/>
    </format>
  </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B1C21B-FE68-44B2-A9FA-66071B9BE24A}" name="PivotTable6" cacheId="8" applyNumberFormats="0" applyBorderFormats="0" applyFontFormats="0" applyPatternFormats="0" applyAlignmentFormats="0" applyWidthHeightFormats="1" dataCaption="Values" tag="698598f1-fd75-45ec-9dd0-4deefb7c4c50" updatedVersion="8" minRefreshableVersion="3" subtotalHiddenItems="1" itemPrintTitles="1" createdVersion="5" indent="0" outline="1" outlineData="1" multipleFieldFilters="0" chartFormat="21">
  <location ref="A68:B7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3">
    <format dxfId="10">
      <pivotArea outline="0" collapsedLevelsAreSubtotals="1" fieldPosition="0"/>
    </format>
    <format dxfId="9">
      <pivotArea grandRow="1" outline="0" collapsedLevelsAreSubtotals="1" fieldPosition="0"/>
    </format>
    <format dxfId="8">
      <pivotArea collapsedLevelsAreSubtotals="1" fieldPosition="0">
        <references count="1">
          <reference field="1" count="0"/>
        </references>
      </pivotArea>
    </format>
  </formats>
  <chartFormats count="3">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1" count="1" selected="0">
            <x v="0"/>
          </reference>
        </references>
      </pivotArea>
    </chartFormat>
    <chartFormat chart="17"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BBDE97-D3DF-4CBC-9AAE-B2BA359E453E}" name="PivotTable5" cacheId="7" applyNumberFormats="0" applyBorderFormats="0" applyFontFormats="0" applyPatternFormats="0" applyAlignmentFormats="0" applyWidthHeightFormats="1" dataCaption="Values" tag="698598f1-fd75-45ec-9dd0-4deefb7c4c50" updatedVersion="8" minRefreshableVersion="3" subtotalHiddenItems="1" itemPrintTitles="1" createdVersion="5" indent="0" outline="1" outlineData="1" multipleFieldFilters="0" chartFormat="14">
  <location ref="A54:B6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3">
    <format dxfId="13">
      <pivotArea outline="0" collapsedLevelsAreSubtotals="1" fieldPosition="0"/>
    </format>
    <format dxfId="12">
      <pivotArea grandRow="1" outline="0" collapsedLevelsAreSubtotals="1" fieldPosition="0"/>
    </format>
    <format dxfId="11">
      <pivotArea collapsedLevelsAreSubtotals="1" fieldPosition="0">
        <references count="1">
          <reference field="1" count="0"/>
        </references>
      </pivotArea>
    </format>
  </formats>
  <chartFormats count="2">
    <chartFormat chart="9"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BB1161-47B2-424C-895B-2AF9C40BD523}" name="PivotTable3" cacheId="3" applyNumberFormats="0" applyBorderFormats="0" applyFontFormats="0" applyPatternFormats="0" applyAlignmentFormats="0" applyWidthHeightFormats="1" dataCaption="Values" tag="3b1e6c4e-604e-4c0c-b01e-56b816c09a96"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4">
      <pivotArea outline="0" collapsedLevelsAreSubtotals="1" fieldPosition="0"/>
    </format>
  </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EFA203-52DD-4BBB-A2B6-86E0847A63A0}" name="PivotTable4" cacheId="6" applyNumberFormats="0" applyBorderFormats="0" applyFontFormats="0" applyPatternFormats="0" applyAlignmentFormats="0" applyWidthHeightFormats="1" dataCaption="Values" tag="fc9ccd34-2370-4a63-8db4-0984367a7405" updatedVersion="8" minRefreshableVersion="3" subtotalHiddenItems="1" itemPrintTitles="1" createdVersion="5" indent="0" outline="1" outlineData="1" multipleFieldFilters="0" chartFormat="6">
  <location ref="A42:C45"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6">
    <format dxfId="20">
      <pivotArea outline="0" collapsedLevelsAreSubtotals="1" fieldPosition="0"/>
    </format>
    <format dxfId="19">
      <pivotArea collapsedLevelsAreSubtotals="1" fieldPosition="0">
        <references count="1">
          <reference field="2" count="1">
            <x v="0"/>
          </reference>
        </references>
      </pivotArea>
    </format>
    <format dxfId="18">
      <pivotArea collapsedLevelsAreSubtotals="1" fieldPosition="0">
        <references count="1">
          <reference field="2" count="1">
            <x v="1"/>
          </reference>
        </references>
      </pivotArea>
    </format>
    <format dxfId="17">
      <pivotArea grandRow="1" outline="0" collapsedLevelsAreSubtotals="1" fieldPosition="0"/>
    </format>
    <format dxfId="16">
      <pivotArea outline="0" fieldPosition="0">
        <references count="1">
          <reference field="4294967294" count="1">
            <x v="1"/>
          </reference>
        </references>
      </pivotArea>
    </format>
    <format dxfId="15">
      <pivotArea field="2" grandRow="1" outline="0" collapsedLevelsAreSubtotals="1" axis="axisRow"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9BB29B-BDF9-434A-99D6-1CB7E0035B6B}" name="PivotTable9" cacheId="5" applyNumberFormats="0" applyBorderFormats="0" applyFontFormats="0" applyPatternFormats="0" applyAlignmentFormats="0" applyWidthHeightFormats="1" dataCaption="Values" tag="8178db85-3222-45a9-a857-891f987d380c" updatedVersion="8" minRefreshableVersion="3" subtotalHiddenItems="1" itemPrintTitles="1" createdVersion="5" indent="0" outline="1" outlineData="1" multipleFieldFilters="0" chartFormat="28">
  <location ref="N5:O36"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2">
    <format dxfId="22">
      <pivotArea collapsedLevelsAreSubtotals="1" fieldPosition="0">
        <references count="1">
          <reference field="0" count="0"/>
        </references>
      </pivotArea>
    </format>
    <format dxfId="21">
      <pivotArea dataOnly="0" labelOnly="1" fieldPosition="0">
        <references count="1">
          <reference field="0" count="0"/>
        </references>
      </pivotArea>
    </format>
  </formats>
  <chartFormats count="3">
    <chartFormat chart="25" format="3"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B29691F-099A-4158-B9DB-67DC76E0C435}" name="PivotTable7" cacheId="0" applyNumberFormats="0" applyBorderFormats="0" applyFontFormats="0" applyPatternFormats="0" applyAlignmentFormats="0" applyWidthHeightFormats="1" dataCaption="Values" tag="b7cfe065-cf25-47d9-87b7-d2c56b6fd89e" updatedVersion="8" minRefreshableVersion="3" subtotalHiddenItems="1" itemPrintTitles="1" createdVersion="5" indent="0" outline="1" outlineData="1" multipleFieldFilters="0" chartFormat="7">
  <location ref="F4:G35"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30"/>
          </reference>
        </references>
      </pivotArea>
    </chartFormat>
  </chart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17933A8-A2EE-4040-AF55-F685BDCBEBC4}" name="PivotTable1" cacheId="1" applyNumberFormats="0" applyBorderFormats="0" applyFontFormats="0" applyPatternFormats="0" applyAlignmentFormats="0" applyWidthHeightFormats="1" dataCaption="Values" tag="1f423026-490b-4de6-b59f-d6e7bce04e21"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F0E548B-0A9A-4A3D-8D50-2822F0F2A4B5}" name="PivotTable8" cacheId="4" applyNumberFormats="0" applyBorderFormats="0" applyFontFormats="0" applyPatternFormats="0" applyAlignmentFormats="0" applyWidthHeightFormats="1" dataCaption="Values" tag="c9ba8ea7-a33f-4e60-830f-e62782a0abb8" updatedVersion="8" minRefreshableVersion="3" subtotalHiddenItems="1" itemPrintTitles="1" createdVersion="5" indent="0" outline="1" outlineData="1" multipleFieldFilters="0" chartFormat="16">
  <location ref="K4:L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1"/>
  </dataFields>
  <formats count="1">
    <format dxfId="23">
      <pivotArea collapsedLevelsAreSubtotals="1" fieldPosition="0">
        <references count="1">
          <reference field="0" count="0"/>
        </references>
      </pivotArea>
    </format>
  </formats>
  <chartFormats count="3">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0684FA5-B1CB-4C51-B815-F12976F6828D}" name="PivotTable2" cacheId="2" applyNumberFormats="0" applyBorderFormats="0" applyFontFormats="0" applyPatternFormats="0" applyAlignmentFormats="0" applyWidthHeightFormats="1" dataCaption="Values" tag="5e474f7a-9921-4037-b33d-d07b04dd7b8c"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4">
      <pivotArea outline="0" collapsedLevelsAreSubtotals="1" fieldPosition="0"/>
    </format>
  </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043101B8-B93E-4728-A0E5-738CCD1BE8CA}" sourceName="[Calender_table].[Date (Month)]">
  <pivotTables>
    <pivotTable tabId="1" name="PivotTable7"/>
    <pivotTable tabId="1" name="PivotTable1"/>
    <pivotTable tabId="1" name="PivotTable2"/>
    <pivotTable tabId="1" name="PivotTable3"/>
    <pivotTable tabId="1" name="PivotTable8"/>
    <pivotTable tabId="1" name="PivotTable9"/>
    <pivotTable tabId="1" name="PivotTable4"/>
    <pivotTable tabId="1" name="PivotTable5"/>
    <pivotTable tabId="1" name="PivotTable6"/>
    <pivotTable tabId="1" name="PivotTable10"/>
    <pivotTable tabId="1" name="PivotTable11"/>
    <pivotTable tabId="1" name="PivotTable12"/>
  </pivotTables>
  <data>
    <olap pivotCacheId="1741619021">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Oc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54683C3D-7726-4807-AC5B-9B9BC423BCE2}"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741619021">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EAD8DAE3-A9AC-4A60-A9B2-5102441D45F4}" cache="Slicer_Date__Month" caption="Date (Month)" level="1" rowHeight="234950"/>
  <slicer name="Date (Year)" xr10:uid="{874F94A5-0C9D-4156-BE5F-E5BF52048058}" cache="Slicer_Date__Year" caption="Date (Year)" columnCount="2" showCaption="0"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E541C2EF-F0EE-4D90-9848-B77CE30A353C}" cache="Slicer_Date__Month" caption="Date (Month)" showCaption="0" level="1" style="My Style" rowHeight="144000"/>
  <slicer name="Date (Year) 1" xr10:uid="{9E708A91-9214-430C-B84D-5D671FAF4F72}" cache="Slicer_Date__Year" caption="Date (Year)" columnCount="2" showCaption="0" level="1" style="My Style" rowHeight="14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56296-E5E3-47EA-A468-60DF93B5CC3F}">
  <dimension ref="A3:O95"/>
  <sheetViews>
    <sheetView topLeftCell="A91" zoomScale="115" zoomScaleNormal="115" workbookViewId="0">
      <selection activeCell="H93" sqref="H93"/>
    </sheetView>
  </sheetViews>
  <sheetFormatPr defaultRowHeight="14.4" x14ac:dyDescent="0.3"/>
  <cols>
    <col min="1" max="1" width="14.88671875" customWidth="1"/>
    <col min="2" max="2" width="16.77734375" customWidth="1"/>
    <col min="3" max="3" width="9.6640625" customWidth="1"/>
    <col min="4" max="4" width="19.6640625" customWidth="1"/>
    <col min="5" max="5" width="11.6640625" customWidth="1"/>
    <col min="6" max="6" width="18.109375" customWidth="1"/>
    <col min="7" max="7" width="23.21875" customWidth="1"/>
    <col min="8" max="8" width="5.5546875" customWidth="1"/>
    <col min="9" max="10" width="4.109375" customWidth="1"/>
    <col min="11" max="11" width="12.5546875" bestFit="1" customWidth="1"/>
    <col min="12" max="12" width="23.77734375" customWidth="1"/>
    <col min="14" max="14" width="14.88671875" customWidth="1"/>
    <col min="15" max="15" width="25" customWidth="1"/>
  </cols>
  <sheetData>
    <row r="3" spans="1:15" x14ac:dyDescent="0.3">
      <c r="A3" t="s">
        <v>1</v>
      </c>
      <c r="F3" t="s">
        <v>6</v>
      </c>
      <c r="K3" t="s">
        <v>7</v>
      </c>
    </row>
    <row r="4" spans="1:15" x14ac:dyDescent="0.3">
      <c r="A4" t="s">
        <v>0</v>
      </c>
      <c r="F4" s="1" t="s">
        <v>5</v>
      </c>
      <c r="G4" t="s">
        <v>0</v>
      </c>
      <c r="K4" s="1" t="s">
        <v>5</v>
      </c>
      <c r="L4" t="s">
        <v>2</v>
      </c>
      <c r="N4" t="s">
        <v>8</v>
      </c>
    </row>
    <row r="5" spans="1:15" x14ac:dyDescent="0.3">
      <c r="A5">
        <v>471</v>
      </c>
      <c r="F5" s="4" t="s">
        <v>45</v>
      </c>
      <c r="G5">
        <v>20</v>
      </c>
      <c r="K5" s="4" t="s">
        <v>45</v>
      </c>
      <c r="L5" s="2">
        <v>37.4</v>
      </c>
      <c r="N5" s="1" t="s">
        <v>5</v>
      </c>
      <c r="O5" t="s">
        <v>3</v>
      </c>
    </row>
    <row r="6" spans="1:15" x14ac:dyDescent="0.3">
      <c r="F6" s="4" t="s">
        <v>46</v>
      </c>
      <c r="G6">
        <v>11</v>
      </c>
      <c r="K6" s="4" t="s">
        <v>46</v>
      </c>
      <c r="L6" s="2">
        <v>38.545454545454547</v>
      </c>
      <c r="N6" s="6" t="s">
        <v>45</v>
      </c>
      <c r="O6" s="2">
        <v>4.8571428571428568</v>
      </c>
    </row>
    <row r="7" spans="1:15" x14ac:dyDescent="0.3">
      <c r="F7" s="4" t="s">
        <v>47</v>
      </c>
      <c r="G7">
        <v>18</v>
      </c>
      <c r="K7" s="4" t="s">
        <v>47</v>
      </c>
      <c r="L7" s="2">
        <v>31.333333333333332</v>
      </c>
      <c r="N7" s="6" t="s">
        <v>46</v>
      </c>
      <c r="O7" s="2">
        <v>8</v>
      </c>
    </row>
    <row r="8" spans="1:15" x14ac:dyDescent="0.3">
      <c r="A8" t="s">
        <v>2</v>
      </c>
      <c r="F8" s="4" t="s">
        <v>48</v>
      </c>
      <c r="G8">
        <v>16</v>
      </c>
      <c r="K8" s="4" t="s">
        <v>48</v>
      </c>
      <c r="L8" s="2">
        <v>36.5</v>
      </c>
      <c r="N8" s="6" t="s">
        <v>47</v>
      </c>
      <c r="O8" s="2">
        <v>6</v>
      </c>
    </row>
    <row r="9" spans="1:15" x14ac:dyDescent="0.3">
      <c r="A9" s="2">
        <v>34.050955414012741</v>
      </c>
      <c r="F9" s="4" t="s">
        <v>49</v>
      </c>
      <c r="G9">
        <v>11</v>
      </c>
      <c r="K9" s="4" t="s">
        <v>49</v>
      </c>
      <c r="L9" s="2">
        <v>25.727272727272727</v>
      </c>
      <c r="N9" s="6" t="s">
        <v>48</v>
      </c>
      <c r="O9" s="2">
        <v>6.8</v>
      </c>
    </row>
    <row r="10" spans="1:15" x14ac:dyDescent="0.3">
      <c r="F10" s="4" t="s">
        <v>50</v>
      </c>
      <c r="G10">
        <v>11</v>
      </c>
      <c r="K10" s="4" t="s">
        <v>50</v>
      </c>
      <c r="L10" s="2">
        <v>29.272727272727273</v>
      </c>
      <c r="N10" s="6" t="s">
        <v>49</v>
      </c>
      <c r="O10" s="2">
        <v>3.5</v>
      </c>
    </row>
    <row r="11" spans="1:15" x14ac:dyDescent="0.3">
      <c r="F11" s="4" t="s">
        <v>51</v>
      </c>
      <c r="G11">
        <v>14</v>
      </c>
      <c r="K11" s="4" t="s">
        <v>51</v>
      </c>
      <c r="L11" s="2">
        <v>33.5</v>
      </c>
      <c r="N11" s="6" t="s">
        <v>50</v>
      </c>
      <c r="O11" s="2">
        <v>0.5</v>
      </c>
    </row>
    <row r="12" spans="1:15" x14ac:dyDescent="0.3">
      <c r="A12" t="s">
        <v>3</v>
      </c>
      <c r="F12" s="4" t="s">
        <v>52</v>
      </c>
      <c r="G12">
        <v>16</v>
      </c>
      <c r="K12" s="4" t="s">
        <v>52</v>
      </c>
      <c r="L12" s="2">
        <v>27.1875</v>
      </c>
      <c r="N12" s="6" t="s">
        <v>51</v>
      </c>
      <c r="O12" s="2">
        <v>4</v>
      </c>
    </row>
    <row r="13" spans="1:15" x14ac:dyDescent="0.3">
      <c r="A13" s="2">
        <v>5.3120000000000003</v>
      </c>
      <c r="F13" s="4" t="s">
        <v>53</v>
      </c>
      <c r="G13">
        <v>18</v>
      </c>
      <c r="K13" s="4" t="s">
        <v>53</v>
      </c>
      <c r="L13" s="2">
        <v>30.333333333333332</v>
      </c>
      <c r="N13" s="6" t="s">
        <v>52</v>
      </c>
      <c r="O13" s="2">
        <v>4.75</v>
      </c>
    </row>
    <row r="14" spans="1:15" x14ac:dyDescent="0.3">
      <c r="F14" s="4" t="s">
        <v>54</v>
      </c>
      <c r="G14">
        <v>10</v>
      </c>
      <c r="K14" s="4" t="s">
        <v>54</v>
      </c>
      <c r="L14" s="2">
        <v>32.5</v>
      </c>
      <c r="N14" s="6" t="s">
        <v>53</v>
      </c>
      <c r="O14" s="2">
        <v>5</v>
      </c>
    </row>
    <row r="15" spans="1:15" x14ac:dyDescent="0.3">
      <c r="F15" s="4" t="s">
        <v>55</v>
      </c>
      <c r="G15">
        <v>23</v>
      </c>
      <c r="K15" s="4" t="s">
        <v>55</v>
      </c>
      <c r="L15" s="2">
        <v>33.565217391304351</v>
      </c>
      <c r="N15" s="6" t="s">
        <v>54</v>
      </c>
      <c r="O15" s="2">
        <v>10</v>
      </c>
    </row>
    <row r="16" spans="1:15" x14ac:dyDescent="0.3">
      <c r="F16" s="4" t="s">
        <v>56</v>
      </c>
      <c r="G16">
        <v>19</v>
      </c>
      <c r="K16" s="4" t="s">
        <v>56</v>
      </c>
      <c r="L16" s="2">
        <v>37.473684210526315</v>
      </c>
      <c r="N16" s="6" t="s">
        <v>55</v>
      </c>
      <c r="O16" s="2">
        <v>5.5</v>
      </c>
    </row>
    <row r="17" spans="6:15" x14ac:dyDescent="0.3">
      <c r="F17" s="4" t="s">
        <v>57</v>
      </c>
      <c r="G17">
        <v>14</v>
      </c>
      <c r="K17" s="4" t="s">
        <v>57</v>
      </c>
      <c r="L17" s="2">
        <v>33.857142857142854</v>
      </c>
      <c r="N17" s="6" t="s">
        <v>56</v>
      </c>
      <c r="O17" s="2">
        <v>4</v>
      </c>
    </row>
    <row r="18" spans="6:15" x14ac:dyDescent="0.3">
      <c r="F18" s="4" t="s">
        <v>58</v>
      </c>
      <c r="G18">
        <v>20</v>
      </c>
      <c r="K18" s="4" t="s">
        <v>58</v>
      </c>
      <c r="L18" s="2">
        <v>32.25</v>
      </c>
      <c r="N18" s="6" t="s">
        <v>57</v>
      </c>
      <c r="O18" s="2">
        <v>2.6666666666666665</v>
      </c>
    </row>
    <row r="19" spans="6:15" x14ac:dyDescent="0.3">
      <c r="F19" s="4" t="s">
        <v>59</v>
      </c>
      <c r="G19">
        <v>15</v>
      </c>
      <c r="K19" s="4" t="s">
        <v>59</v>
      </c>
      <c r="L19" s="2">
        <v>43.666666666666664</v>
      </c>
      <c r="N19" s="6" t="s">
        <v>58</v>
      </c>
      <c r="O19" s="2">
        <v>5.1111111111111107</v>
      </c>
    </row>
    <row r="20" spans="6:15" x14ac:dyDescent="0.3">
      <c r="F20" s="4" t="s">
        <v>60</v>
      </c>
      <c r="G20">
        <v>12</v>
      </c>
      <c r="K20" s="4" t="s">
        <v>60</v>
      </c>
      <c r="L20" s="2">
        <v>30.166666666666668</v>
      </c>
      <c r="N20" s="6" t="s">
        <v>59</v>
      </c>
      <c r="O20" s="2">
        <v>6.25</v>
      </c>
    </row>
    <row r="21" spans="6:15" x14ac:dyDescent="0.3">
      <c r="F21" s="4" t="s">
        <v>61</v>
      </c>
      <c r="G21">
        <v>17</v>
      </c>
      <c r="K21" s="4" t="s">
        <v>61</v>
      </c>
      <c r="L21" s="2">
        <v>33.823529411764703</v>
      </c>
      <c r="N21" s="6" t="s">
        <v>60</v>
      </c>
      <c r="O21" s="2">
        <v>6.333333333333333</v>
      </c>
    </row>
    <row r="22" spans="6:15" x14ac:dyDescent="0.3">
      <c r="F22" s="4" t="s">
        <v>62</v>
      </c>
      <c r="G22">
        <v>18</v>
      </c>
      <c r="K22" s="4" t="s">
        <v>62</v>
      </c>
      <c r="L22" s="2">
        <v>32.5</v>
      </c>
      <c r="N22" s="6" t="s">
        <v>61</v>
      </c>
      <c r="O22" s="2">
        <v>7.666666666666667</v>
      </c>
    </row>
    <row r="23" spans="6:15" x14ac:dyDescent="0.3">
      <c r="F23" s="4" t="s">
        <v>63</v>
      </c>
      <c r="G23">
        <v>16</v>
      </c>
      <c r="K23" s="4" t="s">
        <v>63</v>
      </c>
      <c r="L23" s="2">
        <v>39.25</v>
      </c>
      <c r="N23" s="6" t="s">
        <v>62</v>
      </c>
      <c r="O23" s="2">
        <v>5.8</v>
      </c>
    </row>
    <row r="24" spans="6:15" x14ac:dyDescent="0.3">
      <c r="F24" s="4" t="s">
        <v>64</v>
      </c>
      <c r="G24">
        <v>20</v>
      </c>
      <c r="K24" s="4" t="s">
        <v>64</v>
      </c>
      <c r="L24" s="2">
        <v>33.549999999999997</v>
      </c>
      <c r="N24" s="6" t="s">
        <v>63</v>
      </c>
      <c r="O24" s="2">
        <v>6.666666666666667</v>
      </c>
    </row>
    <row r="25" spans="6:15" x14ac:dyDescent="0.3">
      <c r="F25" s="4" t="s">
        <v>65</v>
      </c>
      <c r="G25">
        <v>17</v>
      </c>
      <c r="K25" s="4" t="s">
        <v>65</v>
      </c>
      <c r="L25" s="2">
        <v>31.117647058823529</v>
      </c>
      <c r="N25" s="6" t="s">
        <v>64</v>
      </c>
      <c r="O25" s="2">
        <v>5.4444444444444446</v>
      </c>
    </row>
    <row r="26" spans="6:15" x14ac:dyDescent="0.3">
      <c r="F26" s="4" t="s">
        <v>66</v>
      </c>
      <c r="G26">
        <v>19</v>
      </c>
      <c r="K26" s="4" t="s">
        <v>66</v>
      </c>
      <c r="L26" s="2">
        <v>36.94736842105263</v>
      </c>
      <c r="N26" s="6" t="s">
        <v>65</v>
      </c>
      <c r="O26" s="2">
        <v>4.4000000000000004</v>
      </c>
    </row>
    <row r="27" spans="6:15" x14ac:dyDescent="0.3">
      <c r="F27" s="4" t="s">
        <v>67</v>
      </c>
      <c r="G27">
        <v>17</v>
      </c>
      <c r="K27" s="4" t="s">
        <v>67</v>
      </c>
      <c r="L27" s="2">
        <v>43</v>
      </c>
      <c r="N27" s="6" t="s">
        <v>66</v>
      </c>
      <c r="O27" s="2">
        <v>4.8</v>
      </c>
    </row>
    <row r="28" spans="6:15" x14ac:dyDescent="0.3">
      <c r="F28" s="4" t="s">
        <v>68</v>
      </c>
      <c r="G28">
        <v>18</v>
      </c>
      <c r="K28" s="4" t="s">
        <v>68</v>
      </c>
      <c r="L28" s="2">
        <v>33.055555555555557</v>
      </c>
      <c r="N28" s="6" t="s">
        <v>67</v>
      </c>
      <c r="O28" s="2">
        <v>4</v>
      </c>
    </row>
    <row r="29" spans="6:15" x14ac:dyDescent="0.3">
      <c r="F29" s="4" t="s">
        <v>69</v>
      </c>
      <c r="G29">
        <v>18</v>
      </c>
      <c r="K29" s="4" t="s">
        <v>69</v>
      </c>
      <c r="L29" s="2">
        <v>32.888888888888886</v>
      </c>
      <c r="N29" s="6" t="s">
        <v>68</v>
      </c>
      <c r="O29" s="2">
        <v>8.25</v>
      </c>
    </row>
    <row r="30" spans="6:15" x14ac:dyDescent="0.3">
      <c r="F30" s="4" t="s">
        <v>70</v>
      </c>
      <c r="G30">
        <v>15</v>
      </c>
      <c r="K30" s="4" t="s">
        <v>70</v>
      </c>
      <c r="L30" s="2">
        <v>26.6</v>
      </c>
      <c r="N30" s="6" t="s">
        <v>69</v>
      </c>
      <c r="O30" s="2">
        <v>4.5</v>
      </c>
    </row>
    <row r="31" spans="6:15" x14ac:dyDescent="0.3">
      <c r="F31" s="4" t="s">
        <v>71</v>
      </c>
      <c r="G31">
        <v>10</v>
      </c>
      <c r="K31" s="4" t="s">
        <v>71</v>
      </c>
      <c r="L31" s="2">
        <v>28.2</v>
      </c>
      <c r="N31" s="6" t="s">
        <v>70</v>
      </c>
      <c r="O31" s="2">
        <v>3.5</v>
      </c>
    </row>
    <row r="32" spans="6:15" x14ac:dyDescent="0.3">
      <c r="F32" s="4" t="s">
        <v>72</v>
      </c>
      <c r="G32">
        <v>14</v>
      </c>
      <c r="K32" s="4" t="s">
        <v>72</v>
      </c>
      <c r="L32" s="2">
        <v>37.642857142857146</v>
      </c>
      <c r="N32" s="6" t="s">
        <v>71</v>
      </c>
      <c r="O32" s="2">
        <v>7</v>
      </c>
    </row>
    <row r="33" spans="1:15" x14ac:dyDescent="0.3">
      <c r="F33" s="4" t="s">
        <v>73</v>
      </c>
      <c r="G33">
        <v>9</v>
      </c>
      <c r="K33" s="4" t="s">
        <v>73</v>
      </c>
      <c r="L33" s="2">
        <v>40.333333333333336</v>
      </c>
      <c r="N33" s="6" t="s">
        <v>72</v>
      </c>
      <c r="O33" s="2">
        <v>4.5</v>
      </c>
    </row>
    <row r="34" spans="1:15" x14ac:dyDescent="0.3">
      <c r="F34" s="4" t="s">
        <v>74</v>
      </c>
      <c r="G34">
        <v>15</v>
      </c>
      <c r="K34" s="4" t="s">
        <v>74</v>
      </c>
      <c r="L34" s="2">
        <v>35.93333333333333</v>
      </c>
      <c r="N34" s="6" t="s">
        <v>73</v>
      </c>
      <c r="O34" s="2">
        <v>4.666666666666667</v>
      </c>
    </row>
    <row r="35" spans="1:15" x14ac:dyDescent="0.3">
      <c r="F35" s="4" t="s">
        <v>4</v>
      </c>
      <c r="G35">
        <v>471</v>
      </c>
      <c r="K35" s="4" t="s">
        <v>4</v>
      </c>
      <c r="L35">
        <v>34.050955414012741</v>
      </c>
      <c r="N35" s="6" t="s">
        <v>74</v>
      </c>
      <c r="O35" s="2">
        <v>5.8</v>
      </c>
    </row>
    <row r="36" spans="1:15" x14ac:dyDescent="0.3">
      <c r="N36" s="4" t="s">
        <v>4</v>
      </c>
      <c r="O36">
        <v>5.3120000000000003</v>
      </c>
    </row>
    <row r="42" spans="1:15" x14ac:dyDescent="0.3">
      <c r="A42" s="1" t="s">
        <v>5</v>
      </c>
      <c r="B42" t="s">
        <v>9</v>
      </c>
      <c r="C42" t="s">
        <v>12</v>
      </c>
    </row>
    <row r="43" spans="1:15" x14ac:dyDescent="0.3">
      <c r="A43" s="4" t="s">
        <v>10</v>
      </c>
      <c r="B43" s="7">
        <v>247</v>
      </c>
      <c r="C43" s="8">
        <v>0.52441613588110403</v>
      </c>
    </row>
    <row r="44" spans="1:15" x14ac:dyDescent="0.3">
      <c r="A44" s="4" t="s">
        <v>11</v>
      </c>
      <c r="B44" s="7">
        <v>224</v>
      </c>
      <c r="C44" s="8">
        <v>0.47558386411889597</v>
      </c>
    </row>
    <row r="45" spans="1:15" x14ac:dyDescent="0.3">
      <c r="A45" s="4" t="s">
        <v>4</v>
      </c>
      <c r="B45" s="7">
        <v>471</v>
      </c>
      <c r="C45" s="9">
        <v>1</v>
      </c>
    </row>
    <row r="48" spans="1:15" x14ac:dyDescent="0.3">
      <c r="A48" s="5" t="s">
        <v>13</v>
      </c>
      <c r="B48" s="5" t="s">
        <v>15</v>
      </c>
      <c r="C48" s="5" t="s">
        <v>14</v>
      </c>
      <c r="D48" s="5"/>
    </row>
    <row r="49" spans="1:4" x14ac:dyDescent="0.3">
      <c r="A49" s="10" t="str">
        <f>A44</f>
        <v>Not Admitted</v>
      </c>
      <c r="B49" s="10">
        <f>B44</f>
        <v>224</v>
      </c>
      <c r="C49" s="11">
        <f>C44</f>
        <v>0.47558386411889597</v>
      </c>
      <c r="D49" s="12"/>
    </row>
    <row r="50" spans="1:4" x14ac:dyDescent="0.3">
      <c r="A50" s="10" t="str">
        <f>A43</f>
        <v>Admitted</v>
      </c>
      <c r="B50" s="10">
        <f>B43</f>
        <v>247</v>
      </c>
      <c r="C50" s="11">
        <f>C43</f>
        <v>0.52441613588110403</v>
      </c>
      <c r="D50" s="12"/>
    </row>
    <row r="53" spans="1:4" x14ac:dyDescent="0.3">
      <c r="A53" t="s">
        <v>25</v>
      </c>
    </row>
    <row r="54" spans="1:4" x14ac:dyDescent="0.3">
      <c r="A54" s="1" t="s">
        <v>5</v>
      </c>
      <c r="B54" t="s">
        <v>24</v>
      </c>
    </row>
    <row r="55" spans="1:4" x14ac:dyDescent="0.3">
      <c r="A55" s="4" t="s">
        <v>16</v>
      </c>
      <c r="B55" s="7">
        <v>77</v>
      </c>
    </row>
    <row r="56" spans="1:4" x14ac:dyDescent="0.3">
      <c r="A56" s="4" t="s">
        <v>17</v>
      </c>
      <c r="B56" s="7">
        <v>50</v>
      </c>
    </row>
    <row r="57" spans="1:4" x14ac:dyDescent="0.3">
      <c r="A57" s="4" t="s">
        <v>18</v>
      </c>
      <c r="B57" s="7">
        <v>67</v>
      </c>
    </row>
    <row r="58" spans="1:4" x14ac:dyDescent="0.3">
      <c r="A58" s="4" t="s">
        <v>19</v>
      </c>
      <c r="B58" s="7">
        <v>53</v>
      </c>
    </row>
    <row r="59" spans="1:4" x14ac:dyDescent="0.3">
      <c r="A59" s="4" t="s">
        <v>20</v>
      </c>
      <c r="B59" s="7">
        <v>59</v>
      </c>
    </row>
    <row r="60" spans="1:4" x14ac:dyDescent="0.3">
      <c r="A60" s="4" t="s">
        <v>21</v>
      </c>
      <c r="B60" s="7">
        <v>59</v>
      </c>
    </row>
    <row r="61" spans="1:4" x14ac:dyDescent="0.3">
      <c r="A61" s="4" t="s">
        <v>22</v>
      </c>
      <c r="B61" s="7">
        <v>48</v>
      </c>
    </row>
    <row r="62" spans="1:4" x14ac:dyDescent="0.3">
      <c r="A62" s="4" t="s">
        <v>23</v>
      </c>
      <c r="B62" s="7">
        <v>58</v>
      </c>
    </row>
    <row r="63" spans="1:4" x14ac:dyDescent="0.3">
      <c r="A63" s="4" t="s">
        <v>4</v>
      </c>
      <c r="B63" s="7">
        <v>471</v>
      </c>
    </row>
    <row r="67" spans="1:2" x14ac:dyDescent="0.3">
      <c r="A67" t="s">
        <v>29</v>
      </c>
    </row>
    <row r="68" spans="1:2" x14ac:dyDescent="0.3">
      <c r="A68" s="1" t="s">
        <v>5</v>
      </c>
      <c r="B68" t="s">
        <v>28</v>
      </c>
    </row>
    <row r="69" spans="1:2" x14ac:dyDescent="0.3">
      <c r="A69" s="4" t="s">
        <v>27</v>
      </c>
      <c r="B69" s="7">
        <v>262</v>
      </c>
    </row>
    <row r="70" spans="1:2" x14ac:dyDescent="0.3">
      <c r="A70" s="4" t="s">
        <v>26</v>
      </c>
      <c r="B70" s="7">
        <v>209</v>
      </c>
    </row>
    <row r="71" spans="1:2" x14ac:dyDescent="0.3">
      <c r="A71" s="4" t="s">
        <v>4</v>
      </c>
      <c r="B71" s="7">
        <v>471</v>
      </c>
    </row>
    <row r="74" spans="1:2" x14ac:dyDescent="0.3">
      <c r="A74" s="4" t="s">
        <v>33</v>
      </c>
    </row>
    <row r="75" spans="1:2" x14ac:dyDescent="0.3">
      <c r="A75" s="1" t="s">
        <v>5</v>
      </c>
      <c r="B75" t="s">
        <v>32</v>
      </c>
    </row>
    <row r="76" spans="1:2" x14ac:dyDescent="0.3">
      <c r="A76" s="4" t="s">
        <v>30</v>
      </c>
      <c r="B76" s="7">
        <v>227</v>
      </c>
    </row>
    <row r="77" spans="1:2" x14ac:dyDescent="0.3">
      <c r="A77" s="4" t="s">
        <v>31</v>
      </c>
      <c r="B77" s="7">
        <v>244</v>
      </c>
    </row>
    <row r="78" spans="1:2" x14ac:dyDescent="0.3">
      <c r="A78" s="4" t="s">
        <v>4</v>
      </c>
      <c r="B78" s="7">
        <v>471</v>
      </c>
    </row>
    <row r="81" spans="1:2" x14ac:dyDescent="0.3">
      <c r="A81" s="4" t="s">
        <v>34</v>
      </c>
    </row>
    <row r="82" spans="1:2" x14ac:dyDescent="0.3">
      <c r="A82" s="1" t="s">
        <v>5</v>
      </c>
      <c r="B82" t="s">
        <v>43</v>
      </c>
    </row>
    <row r="83" spans="1:2" x14ac:dyDescent="0.3">
      <c r="A83" s="4" t="s">
        <v>42</v>
      </c>
      <c r="B83" s="7">
        <v>1</v>
      </c>
    </row>
    <row r="84" spans="1:2" x14ac:dyDescent="0.3">
      <c r="A84" s="4" t="s">
        <v>36</v>
      </c>
      <c r="B84" s="7">
        <v>9</v>
      </c>
    </row>
    <row r="85" spans="1:2" x14ac:dyDescent="0.3">
      <c r="A85" s="4" t="s">
        <v>35</v>
      </c>
      <c r="B85" s="7">
        <v>13</v>
      </c>
    </row>
    <row r="86" spans="1:2" x14ac:dyDescent="0.3">
      <c r="A86" s="4" t="s">
        <v>38</v>
      </c>
      <c r="B86" s="7">
        <v>15</v>
      </c>
    </row>
    <row r="87" spans="1:2" x14ac:dyDescent="0.3">
      <c r="A87" s="4" t="s">
        <v>41</v>
      </c>
      <c r="B87" s="7">
        <v>17</v>
      </c>
    </row>
    <row r="88" spans="1:2" x14ac:dyDescent="0.3">
      <c r="A88" s="4" t="s">
        <v>40</v>
      </c>
      <c r="B88" s="7">
        <v>54</v>
      </c>
    </row>
    <row r="89" spans="1:2" x14ac:dyDescent="0.3">
      <c r="A89" s="4" t="s">
        <v>37</v>
      </c>
      <c r="B89" s="7">
        <v>96</v>
      </c>
    </row>
    <row r="90" spans="1:2" x14ac:dyDescent="0.3">
      <c r="A90" s="4" t="s">
        <v>39</v>
      </c>
      <c r="B90" s="7">
        <v>266</v>
      </c>
    </row>
    <row r="91" spans="1:2" x14ac:dyDescent="0.3">
      <c r="A91" s="4" t="s">
        <v>4</v>
      </c>
      <c r="B91" s="7">
        <v>471</v>
      </c>
    </row>
    <row r="93" spans="1:2" x14ac:dyDescent="0.3">
      <c r="A93" s="1" t="s">
        <v>5</v>
      </c>
    </row>
    <row r="94" spans="1:2" x14ac:dyDescent="0.3">
      <c r="A94" s="4" t="s">
        <v>44</v>
      </c>
    </row>
    <row r="95" spans="1:2" x14ac:dyDescent="0.3">
      <c r="A95" s="4" t="s">
        <v>4</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9EB2B-2989-46F4-A76D-C603222829E6}">
  <dimension ref="A1:M19"/>
  <sheetViews>
    <sheetView topLeftCell="C1" zoomScale="190" zoomScaleNormal="190" workbookViewId="0">
      <selection activeCell="H18" sqref="H18"/>
    </sheetView>
  </sheetViews>
  <sheetFormatPr defaultRowHeight="14.4" x14ac:dyDescent="0.3"/>
  <cols>
    <col min="7" max="7" width="8.6640625" customWidth="1"/>
    <col min="13" max="13" width="2.88671875" customWidth="1"/>
  </cols>
  <sheetData>
    <row r="1" spans="1:12" x14ac:dyDescent="0.3">
      <c r="A1" s="3"/>
      <c r="B1" s="3"/>
      <c r="C1" s="3"/>
      <c r="D1" s="3"/>
      <c r="E1" s="3"/>
      <c r="F1" s="3"/>
      <c r="G1" s="3"/>
      <c r="H1" s="3"/>
      <c r="I1" s="3"/>
      <c r="J1" s="3"/>
      <c r="K1" s="3"/>
      <c r="L1" s="3"/>
    </row>
    <row r="2" spans="1:12" x14ac:dyDescent="0.3">
      <c r="A2" s="3"/>
      <c r="B2" s="3"/>
      <c r="C2" s="3"/>
      <c r="D2" s="3"/>
      <c r="E2" s="3"/>
      <c r="F2" s="3"/>
      <c r="G2" s="3"/>
      <c r="H2" s="3"/>
      <c r="I2" s="3"/>
      <c r="J2" s="3"/>
      <c r="K2" s="3"/>
      <c r="L2" s="3"/>
    </row>
    <row r="3" spans="1:12" x14ac:dyDescent="0.3">
      <c r="A3" s="3"/>
      <c r="B3" s="3"/>
      <c r="C3" s="3"/>
      <c r="D3" s="3"/>
      <c r="E3" s="3"/>
      <c r="F3" s="3"/>
      <c r="G3" s="3"/>
      <c r="H3" s="3"/>
      <c r="I3" s="3"/>
      <c r="J3" s="3"/>
      <c r="K3" s="3"/>
      <c r="L3" s="3"/>
    </row>
    <row r="4" spans="1:12" x14ac:dyDescent="0.3">
      <c r="A4" s="3"/>
      <c r="B4" s="3"/>
      <c r="C4" s="3"/>
      <c r="D4" s="3"/>
      <c r="E4" s="3"/>
      <c r="F4" s="3"/>
      <c r="G4" s="3"/>
      <c r="H4" s="3"/>
      <c r="I4" s="3"/>
      <c r="J4" s="3"/>
      <c r="K4" s="3"/>
      <c r="L4" s="3"/>
    </row>
    <row r="5" spans="1:12" x14ac:dyDescent="0.3">
      <c r="A5" s="3"/>
      <c r="B5" s="3"/>
      <c r="C5" s="3"/>
      <c r="D5" s="3"/>
      <c r="E5" s="3"/>
      <c r="F5" s="3"/>
      <c r="G5" s="3"/>
      <c r="H5" s="3"/>
      <c r="I5" s="3"/>
      <c r="J5" s="3"/>
      <c r="K5" s="3"/>
      <c r="L5" s="3"/>
    </row>
    <row r="6" spans="1:12" x14ac:dyDescent="0.3">
      <c r="A6" s="3"/>
      <c r="B6" s="3"/>
      <c r="C6" s="3"/>
      <c r="D6" s="3"/>
      <c r="E6" s="3"/>
      <c r="F6" s="3"/>
      <c r="G6" s="3"/>
      <c r="H6" s="3"/>
      <c r="I6" s="3"/>
      <c r="J6" s="3"/>
      <c r="K6" s="3"/>
      <c r="L6" s="3"/>
    </row>
    <row r="7" spans="1:12" x14ac:dyDescent="0.3">
      <c r="A7" s="3"/>
      <c r="B7" s="3"/>
      <c r="C7" s="3"/>
      <c r="D7" s="3"/>
      <c r="E7" s="3"/>
      <c r="F7" s="3"/>
      <c r="G7" s="3"/>
      <c r="H7" s="3"/>
      <c r="I7" s="3"/>
      <c r="J7" s="3"/>
      <c r="K7" s="3"/>
      <c r="L7" s="3"/>
    </row>
    <row r="8" spans="1:12" x14ac:dyDescent="0.3">
      <c r="A8" s="3"/>
      <c r="B8" s="3"/>
      <c r="C8" s="3"/>
      <c r="D8" s="3"/>
      <c r="E8" s="3"/>
      <c r="F8" s="3"/>
      <c r="G8" s="3"/>
      <c r="H8" s="3"/>
      <c r="I8" s="3"/>
      <c r="J8" s="3"/>
      <c r="K8" s="3"/>
      <c r="L8" s="3"/>
    </row>
    <row r="9" spans="1:12" x14ac:dyDescent="0.3">
      <c r="A9" s="3"/>
      <c r="B9" s="3"/>
      <c r="C9" s="3"/>
      <c r="D9" s="3"/>
      <c r="E9" s="3"/>
      <c r="F9" s="3"/>
      <c r="G9" s="3"/>
      <c r="H9" s="3"/>
      <c r="I9" s="3"/>
      <c r="J9" s="3"/>
      <c r="K9" s="3"/>
      <c r="L9" s="3"/>
    </row>
    <row r="10" spans="1:12" x14ac:dyDescent="0.3">
      <c r="A10" s="3"/>
      <c r="B10" s="3"/>
      <c r="C10" s="3"/>
      <c r="D10" s="3"/>
      <c r="E10" s="3"/>
      <c r="F10" s="3"/>
      <c r="G10" s="3"/>
      <c r="H10" s="3"/>
      <c r="I10" s="3"/>
      <c r="J10" s="3"/>
      <c r="K10" s="3"/>
      <c r="L10" s="3"/>
    </row>
    <row r="11" spans="1:12" x14ac:dyDescent="0.3">
      <c r="A11" s="3"/>
      <c r="B11" s="3"/>
      <c r="C11" s="3"/>
      <c r="D11" s="3"/>
      <c r="E11" s="3"/>
      <c r="F11" s="3"/>
      <c r="G11" s="3"/>
      <c r="H11" s="3"/>
      <c r="I11" s="3"/>
      <c r="J11" s="3"/>
      <c r="K11" s="3"/>
      <c r="L11" s="3"/>
    </row>
    <row r="12" spans="1:12" x14ac:dyDescent="0.3">
      <c r="A12" s="3"/>
      <c r="B12" s="3"/>
      <c r="C12" s="3"/>
      <c r="D12" s="3"/>
      <c r="E12" s="3"/>
      <c r="F12" s="3"/>
      <c r="G12" s="3"/>
      <c r="H12" s="3"/>
      <c r="I12" s="3"/>
      <c r="J12" s="3"/>
      <c r="K12" s="3"/>
      <c r="L12" s="3"/>
    </row>
    <row r="13" spans="1:12" x14ac:dyDescent="0.3">
      <c r="A13" s="3"/>
      <c r="B13" s="3"/>
      <c r="C13" s="3"/>
      <c r="D13" s="3"/>
      <c r="E13" s="3"/>
      <c r="F13" s="3"/>
      <c r="G13" s="3"/>
      <c r="H13" s="3"/>
      <c r="I13" s="3"/>
      <c r="J13" s="3"/>
      <c r="K13" s="3"/>
      <c r="L13" s="3"/>
    </row>
    <row r="14" spans="1:12" x14ac:dyDescent="0.3">
      <c r="A14" s="3"/>
      <c r="B14" s="3"/>
      <c r="C14" s="3"/>
      <c r="D14" s="3"/>
      <c r="E14" s="3"/>
      <c r="F14" s="3"/>
      <c r="G14" s="3"/>
      <c r="H14" s="3"/>
      <c r="I14" s="3"/>
      <c r="J14" s="3"/>
      <c r="K14" s="3"/>
      <c r="L14" s="3"/>
    </row>
    <row r="15" spans="1:12" x14ac:dyDescent="0.3">
      <c r="A15" s="3"/>
      <c r="B15" s="3"/>
      <c r="C15" s="3"/>
      <c r="D15" s="3"/>
      <c r="E15" s="3"/>
      <c r="F15" s="3"/>
      <c r="G15" s="3"/>
      <c r="H15" s="3"/>
      <c r="I15" s="3"/>
      <c r="J15" s="3"/>
      <c r="K15" s="3"/>
      <c r="L15" s="3"/>
    </row>
    <row r="16" spans="1:12" x14ac:dyDescent="0.3">
      <c r="A16" s="3"/>
      <c r="B16" s="3"/>
      <c r="C16" s="3"/>
      <c r="D16" s="3"/>
      <c r="E16" s="3"/>
      <c r="F16" s="3"/>
      <c r="G16" s="3"/>
      <c r="H16" s="3"/>
      <c r="I16" s="3"/>
      <c r="J16" s="3"/>
      <c r="K16" s="3"/>
      <c r="L16" s="3"/>
    </row>
    <row r="17" spans="4:13" x14ac:dyDescent="0.3">
      <c r="M17" s="14"/>
    </row>
    <row r="18" spans="4:13" x14ac:dyDescent="0.3">
      <c r="M18" s="14"/>
    </row>
    <row r="19" spans="4:13" x14ac:dyDescent="0.3">
      <c r="D19" s="1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EB9F-40C8-4666-88C6-D97EC696C83B}">
  <dimension ref="A1:I14"/>
  <sheetViews>
    <sheetView zoomScale="145" zoomScaleNormal="145" workbookViewId="0"/>
  </sheetViews>
  <sheetFormatPr defaultRowHeight="14.4" x14ac:dyDescent="0.3"/>
  <sheetData>
    <row r="1" spans="1:9" x14ac:dyDescent="0.3">
      <c r="A1" s="5"/>
      <c r="B1" s="5"/>
      <c r="C1" s="5"/>
      <c r="D1" s="5"/>
      <c r="E1" s="5"/>
      <c r="F1" s="5"/>
      <c r="G1" s="5"/>
      <c r="H1" s="5"/>
      <c r="I1" s="5"/>
    </row>
    <row r="2" spans="1:9" x14ac:dyDescent="0.3">
      <c r="A2" s="5"/>
      <c r="B2" s="5"/>
      <c r="C2" s="5"/>
      <c r="D2" s="5"/>
      <c r="E2" s="5"/>
      <c r="F2" s="5"/>
      <c r="G2" s="5"/>
      <c r="H2" s="5"/>
      <c r="I2" s="5"/>
    </row>
    <row r="3" spans="1:9" x14ac:dyDescent="0.3">
      <c r="A3" s="5"/>
      <c r="B3" s="5"/>
      <c r="C3" s="5"/>
      <c r="D3" s="5"/>
      <c r="E3" s="5"/>
      <c r="F3" s="5"/>
      <c r="G3" s="5"/>
      <c r="H3" s="5"/>
      <c r="I3" s="5"/>
    </row>
    <row r="4" spans="1:9" x14ac:dyDescent="0.3">
      <c r="A4" s="5"/>
      <c r="B4" s="5"/>
      <c r="C4" s="5"/>
      <c r="D4" s="5"/>
      <c r="E4" s="5"/>
      <c r="F4" s="5"/>
      <c r="G4" s="5"/>
      <c r="H4" s="5"/>
      <c r="I4" s="5"/>
    </row>
    <row r="5" spans="1:9" x14ac:dyDescent="0.3">
      <c r="A5" s="5"/>
      <c r="B5" s="5"/>
      <c r="C5" s="5"/>
      <c r="D5" s="5"/>
      <c r="E5" s="5"/>
      <c r="F5" s="5"/>
      <c r="G5" s="5"/>
      <c r="H5" s="5"/>
      <c r="I5" s="5"/>
    </row>
    <row r="6" spans="1:9" x14ac:dyDescent="0.3">
      <c r="A6" s="5"/>
      <c r="B6" s="5"/>
      <c r="C6" s="5"/>
      <c r="D6" s="5"/>
      <c r="E6" s="5"/>
      <c r="F6" s="5"/>
      <c r="G6" s="5"/>
      <c r="H6" s="5"/>
      <c r="I6" s="5"/>
    </row>
    <row r="7" spans="1:9" x14ac:dyDescent="0.3">
      <c r="A7" s="5"/>
      <c r="B7" s="5"/>
      <c r="C7" s="5"/>
      <c r="D7" s="5"/>
      <c r="E7" s="5"/>
      <c r="F7" s="5"/>
      <c r="G7" s="5"/>
      <c r="H7" s="5"/>
      <c r="I7" s="5"/>
    </row>
    <row r="8" spans="1:9" x14ac:dyDescent="0.3">
      <c r="A8" s="5"/>
      <c r="B8" s="5"/>
      <c r="C8" s="5"/>
      <c r="D8" s="5"/>
      <c r="E8" s="5"/>
      <c r="F8" s="5"/>
      <c r="G8" s="5"/>
      <c r="H8" s="5"/>
      <c r="I8" s="5"/>
    </row>
    <row r="9" spans="1:9" x14ac:dyDescent="0.3">
      <c r="A9" s="5"/>
      <c r="B9" s="5"/>
      <c r="C9" s="5"/>
      <c r="D9" s="5"/>
      <c r="E9" s="5"/>
      <c r="F9" s="5"/>
      <c r="G9" s="5"/>
      <c r="H9" s="5"/>
      <c r="I9" s="5"/>
    </row>
    <row r="10" spans="1:9" x14ac:dyDescent="0.3">
      <c r="A10" s="5"/>
      <c r="B10" s="5"/>
      <c r="C10" s="5"/>
      <c r="D10" s="5"/>
      <c r="E10" s="5"/>
      <c r="F10" s="5"/>
      <c r="G10" s="5"/>
      <c r="H10" s="5"/>
      <c r="I10" s="5"/>
    </row>
    <row r="11" spans="1:9" x14ac:dyDescent="0.3">
      <c r="A11" s="5"/>
      <c r="B11" s="5"/>
      <c r="C11" s="5"/>
      <c r="D11" s="5"/>
      <c r="E11" s="5"/>
      <c r="F11" s="5"/>
      <c r="G11" s="5"/>
      <c r="H11" s="5"/>
      <c r="I11" s="5"/>
    </row>
    <row r="12" spans="1:9" x14ac:dyDescent="0.3">
      <c r="A12" s="5"/>
      <c r="B12" s="5"/>
      <c r="C12" s="5"/>
      <c r="D12" s="5"/>
      <c r="E12" s="5"/>
      <c r="F12" s="5"/>
      <c r="G12" s="5"/>
      <c r="H12" s="5"/>
      <c r="I12" s="5"/>
    </row>
    <row r="13" spans="1:9" x14ac:dyDescent="0.3">
      <c r="A13" s="5"/>
      <c r="B13" s="5"/>
      <c r="C13" s="5"/>
      <c r="D13" s="5"/>
      <c r="E13" s="5"/>
      <c r="F13" s="5"/>
      <c r="G13" s="5"/>
      <c r="H13" s="5"/>
      <c r="I13" s="5"/>
    </row>
    <row r="14" spans="1:9" x14ac:dyDescent="0.3">
      <c r="A14" s="5"/>
      <c r="B14" s="5"/>
      <c r="C14" s="5"/>
      <c r="D14" s="5"/>
      <c r="E14" s="5"/>
      <c r="F14" s="5"/>
      <c r="G14" s="5"/>
      <c r="H14" s="5"/>
      <c r="I14"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6C3F4-6CB4-4022-AE93-149B72C7CB15}">
  <dimension ref="A1"/>
  <sheetViews>
    <sheetView zoomScale="130" zoomScaleNormal="130" workbookViewId="0">
      <selection activeCell="M9" sqref="M9"/>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30615-943D-4B37-9E34-B3E6E5E1DFD2}">
  <dimension ref="A1"/>
  <sheetViews>
    <sheetView tabSelected="1" zoomScale="130" zoomScaleNormal="130"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0D65C184-78A3-4641-9895-BBFC0F535151}">
  <ds:schemaRefs/>
</ds:datastoreItem>
</file>

<file path=customXml/itemProps2.xml><?xml version="1.0" encoding="utf-8"?>
<ds:datastoreItem xmlns:ds="http://schemas.openxmlformats.org/officeDocument/2006/customXml" ds:itemID="{E0B4B96C-6749-41DB-9F5D-778CE9B10E1C}">
  <ds:schemaRefs/>
</ds:datastoreItem>
</file>

<file path=customXml/itemProps3.xml><?xml version="1.0" encoding="utf-8"?>
<ds:datastoreItem xmlns:ds="http://schemas.openxmlformats.org/officeDocument/2006/customXml" ds:itemID="{DA6C5180-4C27-4341-B5BA-C6A749F15563}">
  <ds:schemaRefs/>
</ds:datastoreItem>
</file>

<file path=customXml/itemProps4.xml><?xml version="1.0" encoding="utf-8"?>
<ds:datastoreItem xmlns:ds="http://schemas.openxmlformats.org/officeDocument/2006/customXml" ds:itemID="{6BD68C69-3E97-4886-B2EC-8C0DB1207F8E}">
  <ds:schemaRefs/>
</ds:datastoreItem>
</file>

<file path=customXml/itemProps5.xml><?xml version="1.0" encoding="utf-8"?>
<ds:datastoreItem xmlns:ds="http://schemas.openxmlformats.org/officeDocument/2006/customXml" ds:itemID="{5B587BAD-2B47-42C6-AC33-526ED9C97BD0}">
  <ds:schemaRefs>
    <ds:schemaRef ds:uri="http://schemas.microsoft.com/DataMashup"/>
  </ds:schemaRefs>
</ds:datastoreItem>
</file>

<file path=customXml/itemProps6.xml><?xml version="1.0" encoding="utf-8"?>
<ds:datastoreItem xmlns:ds="http://schemas.openxmlformats.org/officeDocument/2006/customXml" ds:itemID="{8E0B6B37-D78A-4A0B-A65E-040C49869AEE}">
  <ds:schemaRefs/>
</ds:datastoreItem>
</file>

<file path=customXml/itemProps7.xml><?xml version="1.0" encoding="utf-8"?>
<ds:datastoreItem xmlns:ds="http://schemas.openxmlformats.org/officeDocument/2006/customXml" ds:itemID="{2ED41943-CA58-4A6F-B0E2-3B2E4D6EDCA5}">
  <ds:schemaRefs/>
</ds:datastoreItem>
</file>

<file path=customXml/itemProps8.xml><?xml version="1.0" encoding="utf-8"?>
<ds:datastoreItem xmlns:ds="http://schemas.openxmlformats.org/officeDocument/2006/customXml" ds:itemID="{135AA72D-3524-4401-973E-705118840442}">
  <ds:schemaRefs/>
</ds:datastoreItem>
</file>

<file path=customXml/itemProps9.xml><?xml version="1.0" encoding="utf-8"?>
<ds:datastoreItem xmlns:ds="http://schemas.openxmlformats.org/officeDocument/2006/customXml" ds:itemID="{FC895A9B-9808-4B8F-9F4A-9174EB6F087F}">
  <ds:schemaRefs/>
</ds:datastoreItem>
</file>

<file path=customXml/itemProps10.xml><?xml version="1.0" encoding="utf-8"?>
<ds:datastoreItem xmlns:ds="http://schemas.openxmlformats.org/officeDocument/2006/customXml" ds:itemID="{A1EA16A0-7880-44D1-B646-953402EF59FF}">
  <ds:schemaRefs/>
</ds:datastoreItem>
</file>

<file path=customXml/itemProps11.xml><?xml version="1.0" encoding="utf-8"?>
<ds:datastoreItem xmlns:ds="http://schemas.openxmlformats.org/officeDocument/2006/customXml" ds:itemID="{CFE140D2-58A0-4620-A647-212A085E18CD}">
  <ds:schemaRefs/>
</ds:datastoreItem>
</file>

<file path=customXml/itemProps12.xml><?xml version="1.0" encoding="utf-8"?>
<ds:datastoreItem xmlns:ds="http://schemas.openxmlformats.org/officeDocument/2006/customXml" ds:itemID="{DBE2DD13-6D4A-4603-AAB5-A83A8BA24E99}">
  <ds:schemaRefs/>
</ds:datastoreItem>
</file>

<file path=customXml/itemProps13.xml><?xml version="1.0" encoding="utf-8"?>
<ds:datastoreItem xmlns:ds="http://schemas.openxmlformats.org/officeDocument/2006/customXml" ds:itemID="{E69105EF-BB8E-4065-A634-BDB4165585EF}">
  <ds:schemaRefs/>
</ds:datastoreItem>
</file>

<file path=customXml/itemProps14.xml><?xml version="1.0" encoding="utf-8"?>
<ds:datastoreItem xmlns:ds="http://schemas.openxmlformats.org/officeDocument/2006/customXml" ds:itemID="{92A4C723-2E39-46D7-AE6F-CDC80433C1F8}">
  <ds:schemaRefs/>
</ds:datastoreItem>
</file>

<file path=customXml/itemProps15.xml><?xml version="1.0" encoding="utf-8"?>
<ds:datastoreItem xmlns:ds="http://schemas.openxmlformats.org/officeDocument/2006/customXml" ds:itemID="{3282CC90-465D-4310-BFAC-07F1659897AF}">
  <ds:schemaRefs/>
</ds:datastoreItem>
</file>

<file path=customXml/itemProps16.xml><?xml version="1.0" encoding="utf-8"?>
<ds:datastoreItem xmlns:ds="http://schemas.openxmlformats.org/officeDocument/2006/customXml" ds:itemID="{B61D58CC-A2AD-488C-A1AE-AE76E8F45D84}">
  <ds:schemaRefs/>
</ds:datastoreItem>
</file>

<file path=customXml/itemProps17.xml><?xml version="1.0" encoding="utf-8"?>
<ds:datastoreItem xmlns:ds="http://schemas.openxmlformats.org/officeDocument/2006/customXml" ds:itemID="{9918F5A4-EA6C-4C61-ABD2-FE12C9B4015F}">
  <ds:schemaRefs/>
</ds:datastoreItem>
</file>

<file path=customXml/itemProps18.xml><?xml version="1.0" encoding="utf-8"?>
<ds:datastoreItem xmlns:ds="http://schemas.openxmlformats.org/officeDocument/2006/customXml" ds:itemID="{241D0BAE-CE91-46FE-B411-24101F673D6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Paitent </vt:lpstr>
      <vt:lpstr>Average Wait Time Daily Trend</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Dipen Nakum</dc:creator>
  <cp:lastModifiedBy>Dipen Nakum</cp:lastModifiedBy>
  <cp:lastPrinted>2026-01-24T10:21:47Z</cp:lastPrinted>
  <dcterms:created xsi:type="dcterms:W3CDTF">2026-01-24T04:56:27Z</dcterms:created>
  <dcterms:modified xsi:type="dcterms:W3CDTF">2026-01-28T13:21:48Z</dcterms:modified>
</cp:coreProperties>
</file>